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S:\Faglig\Kurs\metode\Sesongjustering2023\"/>
    </mc:Choice>
  </mc:AlternateContent>
  <xr:revisionPtr revIDLastSave="0" documentId="13_ncr:1_{47895477-C4C8-4CD6-AC81-0DBA7515A5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Verdiindekser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" i="3"/>
  <c r="C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PX-Web Ekstern</author>
  </authors>
  <commentList>
    <comment ref="C1" authorId="0" shapeId="0" xr:uid="{1DFFC67F-EB7D-4572-BD97-4A7773F9DDBD}">
      <text>
        <r>
          <rPr>
            <sz val="9"/>
            <color rgb="FF000000"/>
            <rFont val="Tahoma"/>
            <family val="2"/>
          </rPr>
          <t xml:space="preserve">Toppaggregatet G består av næring 45 Handel med og reparasjon av motorvogner, 46 Agentur- og engroshandel, unntatt med motorvogner og 47 Detaljhandel, unntatt med motorvogner. 
Tall for årene 2015-2020 for næringene 45 og 46 er beregnede tall basert på terminvis omsetningsstatistikk.
Tidsserien ujustert verdiindeks for G Varehandel, reparasjon av motorvogner ble korrigert 28.04.2023.
</t>
        </r>
      </text>
    </comment>
    <comment ref="D1" authorId="0" shapeId="0" xr:uid="{8C0EA9C4-2030-4748-B3A5-9E8FB1915E83}">
      <text>
        <r>
          <rPr>
            <sz val="9"/>
            <color rgb="FF000000"/>
            <rFont val="Tahoma"/>
            <family val="2"/>
          </rPr>
          <t xml:space="preserve">Tall for årene 2015-2020 er beregnede tall basert på terminvis omsetningsstatistikk.
</t>
        </r>
      </text>
    </comment>
    <comment ref="E1" authorId="0" shapeId="0" xr:uid="{AA62D5C0-43C5-4B92-90FD-F20EAD96653D}">
      <text>
        <r>
          <rPr>
            <sz val="9"/>
            <color rgb="FF000000"/>
            <rFont val="Tahoma"/>
            <family val="2"/>
          </rPr>
          <t xml:space="preserve">Tall for årene 2015-2020 er beregnede tall basert på terminvis omsetningsstatistikk.
</t>
        </r>
      </text>
    </comment>
    <comment ref="F1" authorId="0" shapeId="0" xr:uid="{B9DBB903-E03C-4950-9933-6C029DC2BF26}">
      <text>
        <r>
          <rPr>
            <sz val="9"/>
            <color rgb="FF000000"/>
            <rFont val="Tahoma"/>
            <family val="2"/>
          </rPr>
          <t xml:space="preserve">Tall for årene 2015-2020 er beregnede tall basert på terminvis omsetningsstatistikk.
</t>
        </r>
      </text>
    </comment>
  </commentList>
</comments>
</file>

<file path=xl/sharedStrings.xml><?xml version="1.0" encoding="utf-8"?>
<sst xmlns="http://schemas.openxmlformats.org/spreadsheetml/2006/main" count="6" uniqueCount="6">
  <si>
    <t>47.1 Butikkhandel med bredt vareutvalg</t>
  </si>
  <si>
    <t>47 + N(0,1)</t>
  </si>
  <si>
    <t>47 + N(0,3)</t>
  </si>
  <si>
    <t>47 + N(0,5)</t>
  </si>
  <si>
    <t>47 + N(0,10)</t>
  </si>
  <si>
    <t>47 + N(0,15)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</si>
</sst>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Tahoma"/>
      <family val="2"/>
    </font>
    <font>
      <sz val="15"/>
      <color rgb="FF040C2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4" fontId="1" fillId="0" borderId="0" xfId="0" applyNumberFormat="1" applyFont="1"/>
    <xf numFmtId="164" fontId="3" fillId="0" borderId="0" xfId="0" applyNumberFormat="1" applyFont="1"/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8766B-FB5C-4F0F-BDCA-C5BE44E9F14B}">
  <dimension ref="A1:G281"/>
  <sheetViews>
    <sheetView tabSelected="1" workbookViewId="0">
      <selection activeCell="I12" sqref="I12"/>
    </sheetView>
  </sheetViews>
  <sheetFormatPr baseColWidth="10" defaultColWidth="9.140625" defaultRowHeight="15" x14ac:dyDescent="0.25"/>
  <cols>
    <col min="1" max="1" width="11.5703125" customWidth="1"/>
    <col min="2" max="2" width="38.42578125" customWidth="1"/>
    <col min="3" max="3" width="30.28515625" customWidth="1"/>
    <col min="4" max="8" width="9.140625" customWidth="1"/>
  </cols>
  <sheetData>
    <row r="1" spans="1: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8.75" x14ac:dyDescent="0.25">
      <c r="A2" s="3">
        <v>36526</v>
      </c>
      <c r="B2" s="2">
        <v>64.7</v>
      </c>
      <c r="C2" s="4">
        <f ca="1">B2+NORMINV(RAND(),0,1)</f>
        <v>65.509988182347513</v>
      </c>
      <c r="D2" s="5">
        <f ca="1">B2+NORMINV(RAND(),0,3)</f>
        <v>63.855665247283177</v>
      </c>
      <c r="E2" s="5">
        <f ca="1">B2+NORMINV(RAND(),0,5)</f>
        <v>63.175149634716576</v>
      </c>
      <c r="F2" s="2">
        <f ca="1">B2+NORMINV(RAND(),0,10)</f>
        <v>79.646284271864943</v>
      </c>
      <c r="G2" s="2">
        <f ca="1">B2+NORMINV(RAND(),0,15)</f>
        <v>41.500614637750814</v>
      </c>
    </row>
    <row r="3" spans="1:7" ht="18.75" x14ac:dyDescent="0.25">
      <c r="A3" s="3">
        <v>36557</v>
      </c>
      <c r="B3" s="2">
        <v>66.7</v>
      </c>
      <c r="C3" s="4">
        <f t="shared" ref="C3:C66" ca="1" si="0">B3+NORMINV(RAND(),0,1)</f>
        <v>64.359698313887861</v>
      </c>
      <c r="D3" s="5">
        <f t="shared" ref="D3:D66" ca="1" si="1">B3+NORMINV(RAND(),0,3)</f>
        <v>67.580196513532215</v>
      </c>
      <c r="E3" s="5">
        <f t="shared" ref="E3:E66" ca="1" si="2">B3+NORMINV(RAND(),0,5)</f>
        <v>57.104916931542142</v>
      </c>
      <c r="F3" s="2">
        <f t="shared" ref="F3:F66" ca="1" si="3">B3+NORMINV(RAND(),0,10)</f>
        <v>73.455111721883114</v>
      </c>
      <c r="G3" s="2">
        <f t="shared" ref="G3:G66" ca="1" si="4">B3+NORMINV(RAND(),0,15)</f>
        <v>89.417793106655765</v>
      </c>
    </row>
    <row r="4" spans="1:7" ht="18.75" x14ac:dyDescent="0.25">
      <c r="A4" s="3">
        <v>36586</v>
      </c>
      <c r="B4" s="2">
        <v>72.7</v>
      </c>
      <c r="C4" s="4">
        <f t="shared" ca="1" si="0"/>
        <v>73.658454617509321</v>
      </c>
      <c r="D4" s="5">
        <f t="shared" ca="1" si="1"/>
        <v>73.450330758172157</v>
      </c>
      <c r="E4" s="5">
        <f t="shared" ca="1" si="2"/>
        <v>68.79658271895849</v>
      </c>
      <c r="F4" s="2">
        <f t="shared" ca="1" si="3"/>
        <v>65.234934110811309</v>
      </c>
      <c r="G4" s="2">
        <f t="shared" ca="1" si="4"/>
        <v>74.061553451438115</v>
      </c>
    </row>
    <row r="5" spans="1:7" ht="18.75" x14ac:dyDescent="0.25">
      <c r="A5" s="3">
        <v>36617</v>
      </c>
      <c r="B5" s="2">
        <v>72.400000000000006</v>
      </c>
      <c r="C5" s="4">
        <f t="shared" ca="1" si="0"/>
        <v>72.484975604266481</v>
      </c>
      <c r="D5" s="5">
        <f t="shared" ca="1" si="1"/>
        <v>73.936519162120618</v>
      </c>
      <c r="E5" s="5">
        <f t="shared" ca="1" si="2"/>
        <v>76.832030368674779</v>
      </c>
      <c r="F5" s="2">
        <f t="shared" ca="1" si="3"/>
        <v>93.418793905128794</v>
      </c>
      <c r="G5" s="2">
        <f t="shared" ca="1" si="4"/>
        <v>104.56710540926068</v>
      </c>
    </row>
    <row r="6" spans="1:7" ht="18.75" x14ac:dyDescent="0.25">
      <c r="A6" s="3">
        <v>36647</v>
      </c>
      <c r="B6" s="2">
        <v>75.599999999999994</v>
      </c>
      <c r="C6" s="4">
        <f t="shared" ca="1" si="0"/>
        <v>76.798894012054959</v>
      </c>
      <c r="D6" s="5">
        <f t="shared" ca="1" si="1"/>
        <v>75.19538377449507</v>
      </c>
      <c r="E6" s="5">
        <f t="shared" ca="1" si="2"/>
        <v>77.949200552292808</v>
      </c>
      <c r="F6" s="2">
        <f t="shared" ca="1" si="3"/>
        <v>68.462581054379044</v>
      </c>
      <c r="G6" s="2">
        <f t="shared" ca="1" si="4"/>
        <v>59.471843689628969</v>
      </c>
    </row>
    <row r="7" spans="1:7" ht="18.75" x14ac:dyDescent="0.25">
      <c r="A7" s="3">
        <v>36678</v>
      </c>
      <c r="B7" s="2">
        <v>73.900000000000006</v>
      </c>
      <c r="C7" s="4">
        <f t="shared" ca="1" si="0"/>
        <v>75.394887030294456</v>
      </c>
      <c r="D7" s="5">
        <f t="shared" ca="1" si="1"/>
        <v>71.475269388249828</v>
      </c>
      <c r="E7" s="5">
        <f t="shared" ca="1" si="2"/>
        <v>80.281711574558969</v>
      </c>
      <c r="F7" s="2">
        <f t="shared" ca="1" si="3"/>
        <v>69.205220556093295</v>
      </c>
      <c r="G7" s="2">
        <f t="shared" ca="1" si="4"/>
        <v>83.693237313663332</v>
      </c>
    </row>
    <row r="8" spans="1:7" ht="18.75" x14ac:dyDescent="0.25">
      <c r="A8" s="3">
        <v>36708</v>
      </c>
      <c r="B8" s="2">
        <v>73.5</v>
      </c>
      <c r="C8" s="4">
        <f t="shared" ca="1" si="0"/>
        <v>73.826923716137571</v>
      </c>
      <c r="D8" s="5">
        <f t="shared" ca="1" si="1"/>
        <v>67.207953565891586</v>
      </c>
      <c r="E8" s="5">
        <f t="shared" ca="1" si="2"/>
        <v>75.054076963522405</v>
      </c>
      <c r="F8" s="2">
        <f t="shared" ca="1" si="3"/>
        <v>63.438135989076692</v>
      </c>
      <c r="G8" s="2">
        <f t="shared" ca="1" si="4"/>
        <v>91.927446674848014</v>
      </c>
    </row>
    <row r="9" spans="1:7" ht="18.75" x14ac:dyDescent="0.25">
      <c r="A9" s="3">
        <v>36739</v>
      </c>
      <c r="B9" s="2">
        <v>74.7</v>
      </c>
      <c r="C9" s="4">
        <f t="shared" ca="1" si="0"/>
        <v>73.52183262592149</v>
      </c>
      <c r="D9" s="5">
        <f t="shared" ca="1" si="1"/>
        <v>77.198093822612975</v>
      </c>
      <c r="E9" s="5">
        <f t="shared" ca="1" si="2"/>
        <v>74.652747760681038</v>
      </c>
      <c r="F9" s="2">
        <f t="shared" ca="1" si="3"/>
        <v>81.127403088027492</v>
      </c>
      <c r="G9" s="2">
        <f t="shared" ca="1" si="4"/>
        <v>65.287136738325131</v>
      </c>
    </row>
    <row r="10" spans="1:7" ht="18.75" x14ac:dyDescent="0.25">
      <c r="A10" s="3">
        <v>36770</v>
      </c>
      <c r="B10" s="2">
        <v>72.900000000000006</v>
      </c>
      <c r="C10" s="4">
        <f t="shared" ca="1" si="0"/>
        <v>72.587297234530141</v>
      </c>
      <c r="D10" s="5">
        <f t="shared" ca="1" si="1"/>
        <v>75.203399888402743</v>
      </c>
      <c r="E10" s="5">
        <f t="shared" ca="1" si="2"/>
        <v>77.37665701600946</v>
      </c>
      <c r="F10" s="2">
        <f t="shared" ca="1" si="3"/>
        <v>81.54807452980252</v>
      </c>
      <c r="G10" s="2">
        <f t="shared" ca="1" si="4"/>
        <v>62.427164299739097</v>
      </c>
    </row>
    <row r="11" spans="1:7" ht="18.75" x14ac:dyDescent="0.25">
      <c r="A11" s="3">
        <v>36800</v>
      </c>
      <c r="B11" s="2">
        <v>70.7</v>
      </c>
      <c r="C11" s="4">
        <f t="shared" ca="1" si="0"/>
        <v>70.260706943367694</v>
      </c>
      <c r="D11" s="5">
        <f t="shared" ca="1" si="1"/>
        <v>68.122445050616207</v>
      </c>
      <c r="E11" s="5">
        <f t="shared" ca="1" si="2"/>
        <v>71.857991958540211</v>
      </c>
      <c r="F11" s="2">
        <f t="shared" ca="1" si="3"/>
        <v>76.549269711080868</v>
      </c>
      <c r="G11" s="2">
        <f t="shared" ca="1" si="4"/>
        <v>51.81044022597019</v>
      </c>
    </row>
    <row r="12" spans="1:7" ht="18.75" x14ac:dyDescent="0.25">
      <c r="A12" s="3">
        <v>36831</v>
      </c>
      <c r="B12" s="2">
        <v>72.8</v>
      </c>
      <c r="C12" s="4">
        <f t="shared" ca="1" si="0"/>
        <v>71.024286374082692</v>
      </c>
      <c r="D12" s="5">
        <f t="shared" ca="1" si="1"/>
        <v>75.866415385469367</v>
      </c>
      <c r="E12" s="5">
        <f t="shared" ca="1" si="2"/>
        <v>70.041305878052441</v>
      </c>
      <c r="F12" s="2">
        <f t="shared" ca="1" si="3"/>
        <v>73.937173334958203</v>
      </c>
      <c r="G12" s="2">
        <f t="shared" ca="1" si="4"/>
        <v>69.912697905529782</v>
      </c>
    </row>
    <row r="13" spans="1:7" ht="18.75" x14ac:dyDescent="0.25">
      <c r="A13" s="3">
        <v>36861</v>
      </c>
      <c r="B13" s="2">
        <v>90.3</v>
      </c>
      <c r="C13" s="4">
        <f t="shared" ca="1" si="0"/>
        <v>92.765364118776105</v>
      </c>
      <c r="D13" s="5">
        <f t="shared" ca="1" si="1"/>
        <v>86.869505507548013</v>
      </c>
      <c r="E13" s="5">
        <f t="shared" ca="1" si="2"/>
        <v>91.716889479199452</v>
      </c>
      <c r="F13" s="2">
        <f t="shared" ca="1" si="3"/>
        <v>68.955475903379153</v>
      </c>
      <c r="G13" s="2">
        <f t="shared" ca="1" si="4"/>
        <v>87.233742254583262</v>
      </c>
    </row>
    <row r="14" spans="1:7" ht="18.75" x14ac:dyDescent="0.25">
      <c r="A14" s="3">
        <v>36892</v>
      </c>
      <c r="B14" s="2">
        <v>66.599999999999994</v>
      </c>
      <c r="C14" s="4">
        <f t="shared" ca="1" si="0"/>
        <v>67.300707263878053</v>
      </c>
      <c r="D14" s="5">
        <f t="shared" ca="1" si="1"/>
        <v>69.103360113679457</v>
      </c>
      <c r="E14" s="5">
        <f t="shared" ca="1" si="2"/>
        <v>61.592481774033089</v>
      </c>
      <c r="F14" s="2">
        <f t="shared" ca="1" si="3"/>
        <v>72.488279425876783</v>
      </c>
      <c r="G14" s="2">
        <f t="shared" ca="1" si="4"/>
        <v>84.328435849456227</v>
      </c>
    </row>
    <row r="15" spans="1:7" ht="18.75" x14ac:dyDescent="0.25">
      <c r="A15" s="3">
        <v>36923</v>
      </c>
      <c r="B15" s="2">
        <v>65.3</v>
      </c>
      <c r="C15" s="4">
        <f t="shared" ca="1" si="0"/>
        <v>64.171588396577818</v>
      </c>
      <c r="D15" s="5">
        <f t="shared" ca="1" si="1"/>
        <v>62.500027950634028</v>
      </c>
      <c r="E15" s="5">
        <f t="shared" ca="1" si="2"/>
        <v>62.133162956584933</v>
      </c>
      <c r="F15" s="2">
        <f t="shared" ca="1" si="3"/>
        <v>72.065902631915264</v>
      </c>
      <c r="G15" s="2">
        <f t="shared" ca="1" si="4"/>
        <v>56.568258015121899</v>
      </c>
    </row>
    <row r="16" spans="1:7" ht="18.75" x14ac:dyDescent="0.25">
      <c r="A16" s="3">
        <v>36951</v>
      </c>
      <c r="B16" s="2">
        <v>75.8</v>
      </c>
      <c r="C16" s="4">
        <f t="shared" ca="1" si="0"/>
        <v>74.690863337902911</v>
      </c>
      <c r="D16" s="5">
        <f t="shared" ca="1" si="1"/>
        <v>77.592826276076508</v>
      </c>
      <c r="E16" s="5">
        <f t="shared" ca="1" si="2"/>
        <v>75.79430634593308</v>
      </c>
      <c r="F16" s="2">
        <f t="shared" ca="1" si="3"/>
        <v>77.875154480283186</v>
      </c>
      <c r="G16" s="2">
        <f t="shared" ca="1" si="4"/>
        <v>73.624929343527654</v>
      </c>
    </row>
    <row r="17" spans="1:7" ht="18.75" x14ac:dyDescent="0.25">
      <c r="A17" s="3">
        <v>36982</v>
      </c>
      <c r="B17" s="2">
        <v>71.3</v>
      </c>
      <c r="C17" s="4">
        <f t="shared" ca="1" si="0"/>
        <v>71.687147932463134</v>
      </c>
      <c r="D17" s="5">
        <f t="shared" ca="1" si="1"/>
        <v>75.53108209056218</v>
      </c>
      <c r="E17" s="5">
        <f t="shared" ca="1" si="2"/>
        <v>77.01385469662219</v>
      </c>
      <c r="F17" s="2">
        <f t="shared" ca="1" si="3"/>
        <v>57.218621989223863</v>
      </c>
      <c r="G17" s="2">
        <f t="shared" ca="1" si="4"/>
        <v>72.057829139429899</v>
      </c>
    </row>
    <row r="18" spans="1:7" ht="18.75" x14ac:dyDescent="0.25">
      <c r="A18" s="3">
        <v>37012</v>
      </c>
      <c r="B18" s="2">
        <v>75.099999999999994</v>
      </c>
      <c r="C18" s="4">
        <f t="shared" ca="1" si="0"/>
        <v>73.914821760364859</v>
      </c>
      <c r="D18" s="5">
        <f t="shared" ca="1" si="1"/>
        <v>74.841647262506754</v>
      </c>
      <c r="E18" s="5">
        <f t="shared" ca="1" si="2"/>
        <v>81.655014258709457</v>
      </c>
      <c r="F18" s="2">
        <f t="shared" ca="1" si="3"/>
        <v>83.635472548741816</v>
      </c>
      <c r="G18" s="2">
        <f t="shared" ca="1" si="4"/>
        <v>49.314372774555352</v>
      </c>
    </row>
    <row r="19" spans="1:7" ht="18.75" x14ac:dyDescent="0.25">
      <c r="A19" s="3">
        <v>37043</v>
      </c>
      <c r="B19" s="2">
        <v>77.900000000000006</v>
      </c>
      <c r="C19" s="4">
        <f t="shared" ca="1" si="0"/>
        <v>78.56237352700964</v>
      </c>
      <c r="D19" s="5">
        <f t="shared" ca="1" si="1"/>
        <v>78.479422700419818</v>
      </c>
      <c r="E19" s="5">
        <f t="shared" ca="1" si="2"/>
        <v>73.06422154605518</v>
      </c>
      <c r="F19" s="2">
        <f t="shared" ca="1" si="3"/>
        <v>74.463129767399465</v>
      </c>
      <c r="G19" s="2">
        <f t="shared" ca="1" si="4"/>
        <v>80.937706107674501</v>
      </c>
    </row>
    <row r="20" spans="1:7" ht="18.75" x14ac:dyDescent="0.25">
      <c r="A20" s="3">
        <v>37073</v>
      </c>
      <c r="B20" s="2">
        <v>74.2</v>
      </c>
      <c r="C20" s="4">
        <f t="shared" ca="1" si="0"/>
        <v>73.220609878772208</v>
      </c>
      <c r="D20" s="5">
        <f t="shared" ca="1" si="1"/>
        <v>73.199444584028356</v>
      </c>
      <c r="E20" s="5">
        <f t="shared" ca="1" si="2"/>
        <v>66.659872030968558</v>
      </c>
      <c r="F20" s="2">
        <f t="shared" ca="1" si="3"/>
        <v>77.73212882258558</v>
      </c>
      <c r="G20" s="2">
        <f t="shared" ca="1" si="4"/>
        <v>59.748547899573303</v>
      </c>
    </row>
    <row r="21" spans="1:7" ht="18.75" x14ac:dyDescent="0.25">
      <c r="A21" s="3">
        <v>37104</v>
      </c>
      <c r="B21" s="2">
        <v>76.5</v>
      </c>
      <c r="C21" s="4">
        <f t="shared" ca="1" si="0"/>
        <v>76.08363962671578</v>
      </c>
      <c r="D21" s="5">
        <f t="shared" ca="1" si="1"/>
        <v>73.447402942294261</v>
      </c>
      <c r="E21" s="5">
        <f t="shared" ca="1" si="2"/>
        <v>80.49143182508169</v>
      </c>
      <c r="F21" s="2">
        <f t="shared" ca="1" si="3"/>
        <v>91.142972913326858</v>
      </c>
      <c r="G21" s="2">
        <f t="shared" ca="1" si="4"/>
        <v>93.252006599469127</v>
      </c>
    </row>
    <row r="22" spans="1:7" ht="18.75" x14ac:dyDescent="0.25">
      <c r="A22" s="3">
        <v>37135</v>
      </c>
      <c r="B22" s="2">
        <v>71.599999999999994</v>
      </c>
      <c r="C22" s="4">
        <f t="shared" ca="1" si="0"/>
        <v>73.126882941996229</v>
      </c>
      <c r="D22" s="5">
        <f t="shared" ca="1" si="1"/>
        <v>70.779559668729547</v>
      </c>
      <c r="E22" s="5">
        <f t="shared" ca="1" si="2"/>
        <v>76.513953288163492</v>
      </c>
      <c r="F22" s="2">
        <f t="shared" ca="1" si="3"/>
        <v>78.399027856741839</v>
      </c>
      <c r="G22" s="2">
        <f t="shared" ca="1" si="4"/>
        <v>65.621393610313433</v>
      </c>
    </row>
    <row r="23" spans="1:7" ht="18.75" x14ac:dyDescent="0.25">
      <c r="A23" s="3">
        <v>37165</v>
      </c>
      <c r="B23" s="2">
        <v>74.5</v>
      </c>
      <c r="C23" s="4">
        <f t="shared" ca="1" si="0"/>
        <v>74.08114443054329</v>
      </c>
      <c r="D23" s="5">
        <f t="shared" ca="1" si="1"/>
        <v>76.785634432243924</v>
      </c>
      <c r="E23" s="5">
        <f t="shared" ca="1" si="2"/>
        <v>77.288397069914382</v>
      </c>
      <c r="F23" s="2">
        <f t="shared" ca="1" si="3"/>
        <v>72.901793497718643</v>
      </c>
      <c r="G23" s="2">
        <f t="shared" ca="1" si="4"/>
        <v>79.884975100006415</v>
      </c>
    </row>
    <row r="24" spans="1:7" ht="18.75" x14ac:dyDescent="0.25">
      <c r="A24" s="3">
        <v>37196</v>
      </c>
      <c r="B24" s="2">
        <v>76.8</v>
      </c>
      <c r="C24" s="4">
        <f t="shared" ca="1" si="0"/>
        <v>77.252659841087223</v>
      </c>
      <c r="D24" s="5">
        <f t="shared" ca="1" si="1"/>
        <v>79.773608659868231</v>
      </c>
      <c r="E24" s="5">
        <f t="shared" ca="1" si="2"/>
        <v>75.411968271412107</v>
      </c>
      <c r="F24" s="2">
        <f t="shared" ca="1" si="3"/>
        <v>70.60586966326828</v>
      </c>
      <c r="G24" s="2">
        <f t="shared" ca="1" si="4"/>
        <v>79.078831049947922</v>
      </c>
    </row>
    <row r="25" spans="1:7" ht="18.75" x14ac:dyDescent="0.25">
      <c r="A25" s="3">
        <v>37226</v>
      </c>
      <c r="B25" s="2">
        <v>92</v>
      </c>
      <c r="C25" s="4">
        <f t="shared" ca="1" si="0"/>
        <v>90.53636643307135</v>
      </c>
      <c r="D25" s="5">
        <f t="shared" ca="1" si="1"/>
        <v>92.526109215636097</v>
      </c>
      <c r="E25" s="5">
        <f t="shared" ca="1" si="2"/>
        <v>92.415565648401824</v>
      </c>
      <c r="F25" s="2">
        <f t="shared" ca="1" si="3"/>
        <v>74.818935551938054</v>
      </c>
      <c r="G25" s="2">
        <f t="shared" ca="1" si="4"/>
        <v>59.607273672526041</v>
      </c>
    </row>
    <row r="26" spans="1:7" ht="18.75" x14ac:dyDescent="0.25">
      <c r="A26" s="3">
        <v>37257</v>
      </c>
      <c r="B26" s="2">
        <v>69.3</v>
      </c>
      <c r="C26" s="4">
        <f t="shared" ca="1" si="0"/>
        <v>68.602010178855537</v>
      </c>
      <c r="D26" s="5">
        <f t="shared" ca="1" si="1"/>
        <v>73.094275724990368</v>
      </c>
      <c r="E26" s="5">
        <f t="shared" ca="1" si="2"/>
        <v>76.656342455537356</v>
      </c>
      <c r="F26" s="2">
        <f t="shared" ca="1" si="3"/>
        <v>69.292826516480091</v>
      </c>
      <c r="G26" s="2">
        <f t="shared" ca="1" si="4"/>
        <v>104.0406789836094</v>
      </c>
    </row>
    <row r="27" spans="1:7" ht="18.75" x14ac:dyDescent="0.25">
      <c r="A27" s="3">
        <v>37288</v>
      </c>
      <c r="B27" s="2">
        <v>68</v>
      </c>
      <c r="C27" s="4">
        <f t="shared" ca="1" si="0"/>
        <v>68.451358168643111</v>
      </c>
      <c r="D27" s="5">
        <f t="shared" ca="1" si="1"/>
        <v>70.186632394994632</v>
      </c>
      <c r="E27" s="5">
        <f t="shared" ca="1" si="2"/>
        <v>63.066245258951007</v>
      </c>
      <c r="F27" s="2">
        <f t="shared" ca="1" si="3"/>
        <v>80.486954268384579</v>
      </c>
      <c r="G27" s="2">
        <f t="shared" ca="1" si="4"/>
        <v>70.641279549679609</v>
      </c>
    </row>
    <row r="28" spans="1:7" ht="18.75" x14ac:dyDescent="0.25">
      <c r="A28" s="3">
        <v>37316</v>
      </c>
      <c r="B28" s="2">
        <v>78.8</v>
      </c>
      <c r="C28" s="4">
        <f t="shared" ca="1" si="0"/>
        <v>78.424097645110464</v>
      </c>
      <c r="D28" s="5">
        <f t="shared" ca="1" si="1"/>
        <v>79.557292371907195</v>
      </c>
      <c r="E28" s="5">
        <f t="shared" ca="1" si="2"/>
        <v>75.461973277991163</v>
      </c>
      <c r="F28" s="2">
        <f t="shared" ca="1" si="3"/>
        <v>70.126918052472092</v>
      </c>
      <c r="G28" s="2">
        <f t="shared" ca="1" si="4"/>
        <v>78.921162079980633</v>
      </c>
    </row>
    <row r="29" spans="1:7" ht="18.75" x14ac:dyDescent="0.25">
      <c r="A29" s="3">
        <v>37347</v>
      </c>
      <c r="B29" s="2">
        <v>72.599999999999994</v>
      </c>
      <c r="C29" s="4">
        <f t="shared" ca="1" si="0"/>
        <v>71.846612725320313</v>
      </c>
      <c r="D29" s="5">
        <f t="shared" ca="1" si="1"/>
        <v>69.677954406141225</v>
      </c>
      <c r="E29" s="5">
        <f t="shared" ca="1" si="2"/>
        <v>63.944354489962969</v>
      </c>
      <c r="F29" s="2">
        <f t="shared" ca="1" si="3"/>
        <v>72.219127929400173</v>
      </c>
      <c r="G29" s="2">
        <f t="shared" ca="1" si="4"/>
        <v>79.540356383753235</v>
      </c>
    </row>
    <row r="30" spans="1:7" ht="18.75" x14ac:dyDescent="0.25">
      <c r="A30" s="3">
        <v>37377</v>
      </c>
      <c r="B30" s="2">
        <v>78.099999999999994</v>
      </c>
      <c r="C30" s="4">
        <f t="shared" ca="1" si="0"/>
        <v>76.800853842190435</v>
      </c>
      <c r="D30" s="5">
        <f t="shared" ca="1" si="1"/>
        <v>80.95850023176348</v>
      </c>
      <c r="E30" s="5">
        <f t="shared" ca="1" si="2"/>
        <v>75.633813947110355</v>
      </c>
      <c r="F30" s="2">
        <f t="shared" ca="1" si="3"/>
        <v>86.103396519129689</v>
      </c>
      <c r="G30" s="2">
        <f t="shared" ca="1" si="4"/>
        <v>86.257139777629746</v>
      </c>
    </row>
    <row r="31" spans="1:7" ht="18.75" x14ac:dyDescent="0.25">
      <c r="A31" s="3">
        <v>37408</v>
      </c>
      <c r="B31" s="2">
        <v>78.599999999999994</v>
      </c>
      <c r="C31" s="4">
        <f t="shared" ca="1" si="0"/>
        <v>77.724283835350064</v>
      </c>
      <c r="D31" s="5">
        <f t="shared" ca="1" si="1"/>
        <v>75.978703999079087</v>
      </c>
      <c r="E31" s="5">
        <f t="shared" ca="1" si="2"/>
        <v>70.905556678375717</v>
      </c>
      <c r="F31" s="2">
        <f t="shared" ca="1" si="3"/>
        <v>77.466685499902979</v>
      </c>
      <c r="G31" s="2">
        <f t="shared" ca="1" si="4"/>
        <v>76.850426235718956</v>
      </c>
    </row>
    <row r="32" spans="1:7" ht="18.75" x14ac:dyDescent="0.25">
      <c r="A32" s="3">
        <v>37438</v>
      </c>
      <c r="B32" s="2">
        <v>76.7</v>
      </c>
      <c r="C32" s="4">
        <f t="shared" ca="1" si="0"/>
        <v>75.509600239162893</v>
      </c>
      <c r="D32" s="5">
        <f t="shared" ca="1" si="1"/>
        <v>76.0452640315076</v>
      </c>
      <c r="E32" s="5">
        <f t="shared" ca="1" si="2"/>
        <v>67.81420770025349</v>
      </c>
      <c r="F32" s="2">
        <f t="shared" ca="1" si="3"/>
        <v>57.804256302080745</v>
      </c>
      <c r="G32" s="2">
        <f t="shared" ca="1" si="4"/>
        <v>80.311225261915212</v>
      </c>
    </row>
    <row r="33" spans="1:7" ht="18.75" x14ac:dyDescent="0.25">
      <c r="A33" s="3">
        <v>37469</v>
      </c>
      <c r="B33" s="2">
        <v>81.3</v>
      </c>
      <c r="C33" s="4">
        <f t="shared" ca="1" si="0"/>
        <v>80.540074909436569</v>
      </c>
      <c r="D33" s="5">
        <f t="shared" ca="1" si="1"/>
        <v>87.296764460379237</v>
      </c>
      <c r="E33" s="5">
        <f t="shared" ca="1" si="2"/>
        <v>79.299305261267691</v>
      </c>
      <c r="F33" s="2">
        <f t="shared" ca="1" si="3"/>
        <v>91.142081926633395</v>
      </c>
      <c r="G33" s="2">
        <f t="shared" ca="1" si="4"/>
        <v>69.453806144683767</v>
      </c>
    </row>
    <row r="34" spans="1:7" ht="18.75" x14ac:dyDescent="0.25">
      <c r="A34" s="3">
        <v>37500</v>
      </c>
      <c r="B34" s="2">
        <v>72.8</v>
      </c>
      <c r="C34" s="4">
        <f t="shared" ca="1" si="0"/>
        <v>71.105117047286285</v>
      </c>
      <c r="D34" s="5">
        <f t="shared" ca="1" si="1"/>
        <v>71.287936147571514</v>
      </c>
      <c r="E34" s="5">
        <f t="shared" ca="1" si="2"/>
        <v>81.76019059247642</v>
      </c>
      <c r="F34" s="2">
        <f t="shared" ca="1" si="3"/>
        <v>65.168867527105931</v>
      </c>
      <c r="G34" s="2">
        <f t="shared" ca="1" si="4"/>
        <v>65.857005958162432</v>
      </c>
    </row>
    <row r="35" spans="1:7" ht="18.75" x14ac:dyDescent="0.25">
      <c r="A35" s="3">
        <v>37530</v>
      </c>
      <c r="B35" s="2">
        <v>77.3</v>
      </c>
      <c r="C35" s="4">
        <f t="shared" ca="1" si="0"/>
        <v>79.050103407203949</v>
      </c>
      <c r="D35" s="5">
        <f t="shared" ca="1" si="1"/>
        <v>76.920676937295198</v>
      </c>
      <c r="E35" s="5">
        <f t="shared" ca="1" si="2"/>
        <v>78.38688959602456</v>
      </c>
      <c r="F35" s="2">
        <f t="shared" ca="1" si="3"/>
        <v>79.959389189308965</v>
      </c>
      <c r="G35" s="2">
        <f t="shared" ca="1" si="4"/>
        <v>80.698648642102327</v>
      </c>
    </row>
    <row r="36" spans="1:7" ht="18.75" x14ac:dyDescent="0.25">
      <c r="A36" s="3">
        <v>37561</v>
      </c>
      <c r="B36" s="2">
        <v>79.2</v>
      </c>
      <c r="C36" s="4">
        <f t="shared" ca="1" si="0"/>
        <v>79.117241077655265</v>
      </c>
      <c r="D36" s="5">
        <f t="shared" ca="1" si="1"/>
        <v>84.349311890076478</v>
      </c>
      <c r="E36" s="5">
        <f t="shared" ca="1" si="2"/>
        <v>83.732803711036482</v>
      </c>
      <c r="F36" s="2">
        <f t="shared" ca="1" si="3"/>
        <v>77.643614922095693</v>
      </c>
      <c r="G36" s="2">
        <f t="shared" ca="1" si="4"/>
        <v>70.849268578310685</v>
      </c>
    </row>
    <row r="37" spans="1:7" ht="18.75" x14ac:dyDescent="0.25">
      <c r="A37" s="3">
        <v>37591</v>
      </c>
      <c r="B37" s="2">
        <v>92.6</v>
      </c>
      <c r="C37" s="4">
        <f t="shared" ca="1" si="0"/>
        <v>93.922692073406864</v>
      </c>
      <c r="D37" s="5">
        <f t="shared" ca="1" si="1"/>
        <v>88.633331852316687</v>
      </c>
      <c r="E37" s="5">
        <f t="shared" ca="1" si="2"/>
        <v>93.056571276357559</v>
      </c>
      <c r="F37" s="2">
        <f t="shared" ca="1" si="3"/>
        <v>88.153362871213872</v>
      </c>
      <c r="G37" s="2">
        <f t="shared" ca="1" si="4"/>
        <v>95.986308898842395</v>
      </c>
    </row>
    <row r="38" spans="1:7" ht="18.75" x14ac:dyDescent="0.25">
      <c r="A38" s="3">
        <v>37622</v>
      </c>
      <c r="B38" s="2">
        <v>71.099999999999994</v>
      </c>
      <c r="C38" s="4">
        <f t="shared" ca="1" si="0"/>
        <v>70.622916801360432</v>
      </c>
      <c r="D38" s="5">
        <f t="shared" ca="1" si="1"/>
        <v>70.823674067071977</v>
      </c>
      <c r="E38" s="5">
        <f t="shared" ca="1" si="2"/>
        <v>75.63608858597884</v>
      </c>
      <c r="F38" s="2">
        <f t="shared" ca="1" si="3"/>
        <v>85.471211235877917</v>
      </c>
      <c r="G38" s="2">
        <f t="shared" ca="1" si="4"/>
        <v>61.558526172002288</v>
      </c>
    </row>
    <row r="39" spans="1:7" ht="18.75" x14ac:dyDescent="0.25">
      <c r="A39" s="3">
        <v>37653</v>
      </c>
      <c r="B39" s="2">
        <v>69.2</v>
      </c>
      <c r="C39" s="4">
        <f t="shared" ca="1" si="0"/>
        <v>68.827829949153056</v>
      </c>
      <c r="D39" s="5">
        <f t="shared" ca="1" si="1"/>
        <v>71.638079324971798</v>
      </c>
      <c r="E39" s="5">
        <f t="shared" ca="1" si="2"/>
        <v>71.045129340789885</v>
      </c>
      <c r="F39" s="2">
        <f t="shared" ca="1" si="3"/>
        <v>65.461666350689981</v>
      </c>
      <c r="G39" s="2">
        <f t="shared" ca="1" si="4"/>
        <v>72.934679682195139</v>
      </c>
    </row>
    <row r="40" spans="1:7" ht="18.75" x14ac:dyDescent="0.25">
      <c r="A40" s="3">
        <v>37681</v>
      </c>
      <c r="B40" s="2">
        <v>75.400000000000006</v>
      </c>
      <c r="C40" s="4">
        <f t="shared" ca="1" si="0"/>
        <v>73.660510333124051</v>
      </c>
      <c r="D40" s="5">
        <f t="shared" ca="1" si="1"/>
        <v>76.549238125246191</v>
      </c>
      <c r="E40" s="5">
        <f t="shared" ca="1" si="2"/>
        <v>72.853346093299379</v>
      </c>
      <c r="F40" s="2">
        <f t="shared" ca="1" si="3"/>
        <v>76.972895920753686</v>
      </c>
      <c r="G40" s="2">
        <f t="shared" ca="1" si="4"/>
        <v>67.067393851216977</v>
      </c>
    </row>
    <row r="41" spans="1:7" ht="18.75" x14ac:dyDescent="0.25">
      <c r="A41" s="3">
        <v>37712</v>
      </c>
      <c r="B41" s="2">
        <v>78.400000000000006</v>
      </c>
      <c r="C41" s="4">
        <f t="shared" ca="1" si="0"/>
        <v>77.018795422262642</v>
      </c>
      <c r="D41" s="5">
        <f t="shared" ca="1" si="1"/>
        <v>73.018911038355895</v>
      </c>
      <c r="E41" s="5">
        <f t="shared" ca="1" si="2"/>
        <v>76.083438760883482</v>
      </c>
      <c r="F41" s="2">
        <f t="shared" ca="1" si="3"/>
        <v>85.404161414326765</v>
      </c>
      <c r="G41" s="2">
        <f t="shared" ca="1" si="4"/>
        <v>54.586657040828001</v>
      </c>
    </row>
    <row r="42" spans="1:7" ht="18.75" x14ac:dyDescent="0.25">
      <c r="A42" s="3">
        <v>37742</v>
      </c>
      <c r="B42" s="2">
        <v>79.2</v>
      </c>
      <c r="C42" s="4">
        <f t="shared" ca="1" si="0"/>
        <v>79.315157647038589</v>
      </c>
      <c r="D42" s="5">
        <f t="shared" ca="1" si="1"/>
        <v>83.281233456519928</v>
      </c>
      <c r="E42" s="5">
        <f t="shared" ca="1" si="2"/>
        <v>85.150681671725323</v>
      </c>
      <c r="F42" s="2">
        <f t="shared" ca="1" si="3"/>
        <v>89.02550397196724</v>
      </c>
      <c r="G42" s="2">
        <f t="shared" ca="1" si="4"/>
        <v>65.314823789786985</v>
      </c>
    </row>
    <row r="43" spans="1:7" ht="18.75" x14ac:dyDescent="0.25">
      <c r="A43" s="3">
        <v>37773</v>
      </c>
      <c r="B43" s="2">
        <v>78.400000000000006</v>
      </c>
      <c r="C43" s="4">
        <f t="shared" ca="1" si="0"/>
        <v>80.805713445461407</v>
      </c>
      <c r="D43" s="5">
        <f t="shared" ca="1" si="1"/>
        <v>77.59297166898358</v>
      </c>
      <c r="E43" s="5">
        <f t="shared" ca="1" si="2"/>
        <v>69.592943881308685</v>
      </c>
      <c r="F43" s="2">
        <f t="shared" ca="1" si="3"/>
        <v>89.696010198450054</v>
      </c>
      <c r="G43" s="2">
        <f t="shared" ca="1" si="4"/>
        <v>74.949549098588136</v>
      </c>
    </row>
    <row r="44" spans="1:7" ht="18.75" x14ac:dyDescent="0.25">
      <c r="A44" s="3">
        <v>37803</v>
      </c>
      <c r="B44" s="2">
        <v>80.900000000000006</v>
      </c>
      <c r="C44" s="4">
        <f t="shared" ca="1" si="0"/>
        <v>80.953299876298516</v>
      </c>
      <c r="D44" s="5">
        <f t="shared" ca="1" si="1"/>
        <v>84.077416923708554</v>
      </c>
      <c r="E44" s="5">
        <f t="shared" ca="1" si="2"/>
        <v>81.977741209029745</v>
      </c>
      <c r="F44" s="2">
        <f t="shared" ca="1" si="3"/>
        <v>76.069951914874665</v>
      </c>
      <c r="G44" s="2">
        <f t="shared" ca="1" si="4"/>
        <v>86.125143123175789</v>
      </c>
    </row>
    <row r="45" spans="1:7" ht="18.75" x14ac:dyDescent="0.25">
      <c r="A45" s="3">
        <v>37834</v>
      </c>
      <c r="B45" s="2">
        <v>80.099999999999994</v>
      </c>
      <c r="C45" s="4">
        <f t="shared" ca="1" si="0"/>
        <v>79.586248770312523</v>
      </c>
      <c r="D45" s="5">
        <f t="shared" ca="1" si="1"/>
        <v>76.806105542689195</v>
      </c>
      <c r="E45" s="5">
        <f t="shared" ca="1" si="2"/>
        <v>76.622335262111122</v>
      </c>
      <c r="F45" s="2">
        <f t="shared" ca="1" si="3"/>
        <v>84.867353048107063</v>
      </c>
      <c r="G45" s="2">
        <f t="shared" ca="1" si="4"/>
        <v>56.117452357578628</v>
      </c>
    </row>
    <row r="46" spans="1:7" ht="18.75" x14ac:dyDescent="0.25">
      <c r="A46" s="3">
        <v>37865</v>
      </c>
      <c r="B46" s="2">
        <v>76.400000000000006</v>
      </c>
      <c r="C46" s="4">
        <f t="shared" ca="1" si="0"/>
        <v>76.623378770122969</v>
      </c>
      <c r="D46" s="5">
        <f t="shared" ca="1" si="1"/>
        <v>79.425591031340758</v>
      </c>
      <c r="E46" s="5">
        <f t="shared" ca="1" si="2"/>
        <v>78.698469866132911</v>
      </c>
      <c r="F46" s="2">
        <f t="shared" ca="1" si="3"/>
        <v>79.566042134694626</v>
      </c>
      <c r="G46" s="2">
        <f t="shared" ca="1" si="4"/>
        <v>70.727359980809752</v>
      </c>
    </row>
    <row r="47" spans="1:7" ht="18.75" x14ac:dyDescent="0.25">
      <c r="A47" s="3">
        <v>37895</v>
      </c>
      <c r="B47" s="2">
        <v>79.599999999999994</v>
      </c>
      <c r="C47" s="4">
        <f t="shared" ca="1" si="0"/>
        <v>79.722142628105559</v>
      </c>
      <c r="D47" s="5">
        <f t="shared" ca="1" si="1"/>
        <v>79.074308267957804</v>
      </c>
      <c r="E47" s="5">
        <f t="shared" ca="1" si="2"/>
        <v>90.234443693923168</v>
      </c>
      <c r="F47" s="2">
        <f t="shared" ca="1" si="3"/>
        <v>66.931907240235006</v>
      </c>
      <c r="G47" s="2">
        <f t="shared" ca="1" si="4"/>
        <v>77.183880756067666</v>
      </c>
    </row>
    <row r="48" spans="1:7" ht="18.75" x14ac:dyDescent="0.25">
      <c r="A48" s="3">
        <v>37926</v>
      </c>
      <c r="B48" s="2">
        <v>77.7</v>
      </c>
      <c r="C48" s="4">
        <f t="shared" ca="1" si="0"/>
        <v>76.344135267790591</v>
      </c>
      <c r="D48" s="5">
        <f t="shared" ca="1" si="1"/>
        <v>80.589192115798241</v>
      </c>
      <c r="E48" s="5">
        <f t="shared" ca="1" si="2"/>
        <v>72.226711165119852</v>
      </c>
      <c r="F48" s="2">
        <f t="shared" ca="1" si="3"/>
        <v>77.987869446176646</v>
      </c>
      <c r="G48" s="2">
        <f t="shared" ca="1" si="4"/>
        <v>79.592591766469269</v>
      </c>
    </row>
    <row r="49" spans="1:7" ht="18.75" x14ac:dyDescent="0.25">
      <c r="A49" s="3">
        <v>37956</v>
      </c>
      <c r="B49" s="2">
        <v>97.5</v>
      </c>
      <c r="C49" s="4">
        <f t="shared" ca="1" si="0"/>
        <v>97.601899875402495</v>
      </c>
      <c r="D49" s="5">
        <f t="shared" ca="1" si="1"/>
        <v>93.048649139507077</v>
      </c>
      <c r="E49" s="5">
        <f t="shared" ca="1" si="2"/>
        <v>92.228062638344952</v>
      </c>
      <c r="F49" s="2">
        <f t="shared" ca="1" si="3"/>
        <v>107.88664285100347</v>
      </c>
      <c r="G49" s="2">
        <f t="shared" ca="1" si="4"/>
        <v>89.085785301984416</v>
      </c>
    </row>
    <row r="50" spans="1:7" ht="18.75" x14ac:dyDescent="0.25">
      <c r="A50" s="3">
        <v>37987</v>
      </c>
      <c r="B50" s="2">
        <v>74.5</v>
      </c>
      <c r="C50" s="4">
        <f t="shared" ca="1" si="0"/>
        <v>73.394415472723267</v>
      </c>
      <c r="D50" s="5">
        <f t="shared" ca="1" si="1"/>
        <v>72.881654375580567</v>
      </c>
      <c r="E50" s="5">
        <f t="shared" ca="1" si="2"/>
        <v>77.874753184054825</v>
      </c>
      <c r="F50" s="2">
        <f t="shared" ca="1" si="3"/>
        <v>91.463117036023192</v>
      </c>
      <c r="G50" s="2">
        <f t="shared" ca="1" si="4"/>
        <v>91.509700362007067</v>
      </c>
    </row>
    <row r="51" spans="1:7" ht="18.75" x14ac:dyDescent="0.25">
      <c r="A51" s="3">
        <v>38018</v>
      </c>
      <c r="B51" s="2">
        <v>71</v>
      </c>
      <c r="C51" s="4">
        <f t="shared" ca="1" si="0"/>
        <v>71.511090864074077</v>
      </c>
      <c r="D51" s="5">
        <f t="shared" ca="1" si="1"/>
        <v>71.866591821291721</v>
      </c>
      <c r="E51" s="5">
        <f t="shared" ca="1" si="2"/>
        <v>67.445239750014053</v>
      </c>
      <c r="F51" s="2">
        <f t="shared" ca="1" si="3"/>
        <v>66.398028097595542</v>
      </c>
      <c r="G51" s="2">
        <f t="shared" ca="1" si="4"/>
        <v>54.084848248844338</v>
      </c>
    </row>
    <row r="52" spans="1:7" ht="18.75" x14ac:dyDescent="0.25">
      <c r="A52" s="3">
        <v>38047</v>
      </c>
      <c r="B52" s="2">
        <v>78.900000000000006</v>
      </c>
      <c r="C52" s="4">
        <f t="shared" ca="1" si="0"/>
        <v>79.356942589650046</v>
      </c>
      <c r="D52" s="5">
        <f t="shared" ca="1" si="1"/>
        <v>76.06322013472942</v>
      </c>
      <c r="E52" s="5">
        <f t="shared" ca="1" si="2"/>
        <v>74.449212434231129</v>
      </c>
      <c r="F52" s="2">
        <f t="shared" ca="1" si="3"/>
        <v>69.587421230040306</v>
      </c>
      <c r="G52" s="2">
        <f t="shared" ca="1" si="4"/>
        <v>85.441728330613259</v>
      </c>
    </row>
    <row r="53" spans="1:7" ht="18.75" x14ac:dyDescent="0.25">
      <c r="A53" s="3">
        <v>38078</v>
      </c>
      <c r="B53" s="2">
        <v>79.900000000000006</v>
      </c>
      <c r="C53" s="4">
        <f t="shared" ca="1" si="0"/>
        <v>80.488810683254471</v>
      </c>
      <c r="D53" s="5">
        <f t="shared" ca="1" si="1"/>
        <v>83.158368331525068</v>
      </c>
      <c r="E53" s="5">
        <f t="shared" ca="1" si="2"/>
        <v>72.7346529362068</v>
      </c>
      <c r="F53" s="2">
        <f t="shared" ca="1" si="3"/>
        <v>69.515049636187001</v>
      </c>
      <c r="G53" s="2">
        <f t="shared" ca="1" si="4"/>
        <v>58.362938363889697</v>
      </c>
    </row>
    <row r="54" spans="1:7" ht="18.75" x14ac:dyDescent="0.25">
      <c r="A54" s="3">
        <v>38108</v>
      </c>
      <c r="B54" s="2">
        <v>74.7</v>
      </c>
      <c r="C54" s="4">
        <f t="shared" ca="1" si="0"/>
        <v>74.950830175871559</v>
      </c>
      <c r="D54" s="5">
        <f t="shared" ca="1" si="1"/>
        <v>75.256380316178607</v>
      </c>
      <c r="E54" s="5">
        <f t="shared" ca="1" si="2"/>
        <v>70.908736318458352</v>
      </c>
      <c r="F54" s="2">
        <f t="shared" ca="1" si="3"/>
        <v>82.918403983014059</v>
      </c>
      <c r="G54" s="2">
        <f t="shared" ca="1" si="4"/>
        <v>67.627603006187471</v>
      </c>
    </row>
    <row r="55" spans="1:7" ht="18.75" x14ac:dyDescent="0.25">
      <c r="A55" s="3">
        <v>38139</v>
      </c>
      <c r="B55" s="2">
        <v>81</v>
      </c>
      <c r="C55" s="4">
        <f t="shared" ca="1" si="0"/>
        <v>80.848854757321789</v>
      </c>
      <c r="D55" s="5">
        <f t="shared" ca="1" si="1"/>
        <v>84.14654687333983</v>
      </c>
      <c r="E55" s="5">
        <f t="shared" ca="1" si="2"/>
        <v>79.286145362007431</v>
      </c>
      <c r="F55" s="2">
        <f t="shared" ca="1" si="3"/>
        <v>83.046887922948528</v>
      </c>
      <c r="G55" s="2">
        <f t="shared" ca="1" si="4"/>
        <v>63.260342110976453</v>
      </c>
    </row>
    <row r="56" spans="1:7" ht="18.75" x14ac:dyDescent="0.25">
      <c r="A56" s="3">
        <v>38169</v>
      </c>
      <c r="B56" s="2">
        <v>80.900000000000006</v>
      </c>
      <c r="C56" s="4">
        <f t="shared" ca="1" si="0"/>
        <v>80.890736290944986</v>
      </c>
      <c r="D56" s="5">
        <f t="shared" ca="1" si="1"/>
        <v>86.894292555851194</v>
      </c>
      <c r="E56" s="5">
        <f t="shared" ca="1" si="2"/>
        <v>84.871618928106543</v>
      </c>
      <c r="F56" s="2">
        <f t="shared" ca="1" si="3"/>
        <v>76.601295316728965</v>
      </c>
      <c r="G56" s="2">
        <f t="shared" ca="1" si="4"/>
        <v>84.511722722536618</v>
      </c>
    </row>
    <row r="57" spans="1:7" ht="18.75" x14ac:dyDescent="0.25">
      <c r="A57" s="3">
        <v>38200</v>
      </c>
      <c r="B57" s="2">
        <v>80.2</v>
      </c>
      <c r="C57" s="4">
        <f t="shared" ca="1" si="0"/>
        <v>78.998058344665182</v>
      </c>
      <c r="D57" s="5">
        <f t="shared" ca="1" si="1"/>
        <v>76.884534283156327</v>
      </c>
      <c r="E57" s="5">
        <f t="shared" ca="1" si="2"/>
        <v>79.470502257147203</v>
      </c>
      <c r="F57" s="2">
        <f t="shared" ca="1" si="3"/>
        <v>89.394931836290013</v>
      </c>
      <c r="G57" s="2">
        <f t="shared" ca="1" si="4"/>
        <v>86.930117800300692</v>
      </c>
    </row>
    <row r="58" spans="1:7" ht="18.75" x14ac:dyDescent="0.25">
      <c r="A58" s="3">
        <v>38231</v>
      </c>
      <c r="B58" s="2">
        <v>75.900000000000006</v>
      </c>
      <c r="C58" s="4">
        <f t="shared" ca="1" si="0"/>
        <v>74.393715643904599</v>
      </c>
      <c r="D58" s="5">
        <f t="shared" ca="1" si="1"/>
        <v>72.375506372866226</v>
      </c>
      <c r="E58" s="5">
        <f t="shared" ca="1" si="2"/>
        <v>72.162425435396941</v>
      </c>
      <c r="F58" s="2">
        <f t="shared" ca="1" si="3"/>
        <v>67.459555305873096</v>
      </c>
      <c r="G58" s="2">
        <f t="shared" ca="1" si="4"/>
        <v>71.920459958641061</v>
      </c>
    </row>
    <row r="59" spans="1:7" ht="18.75" x14ac:dyDescent="0.25">
      <c r="A59" s="3">
        <v>38261</v>
      </c>
      <c r="B59" s="2">
        <v>77.400000000000006</v>
      </c>
      <c r="C59" s="4">
        <f t="shared" ca="1" si="0"/>
        <v>77.007711620766159</v>
      </c>
      <c r="D59" s="5">
        <f t="shared" ca="1" si="1"/>
        <v>80.833054013472022</v>
      </c>
      <c r="E59" s="5">
        <f t="shared" ca="1" si="2"/>
        <v>74.024978399895176</v>
      </c>
      <c r="F59" s="2">
        <f t="shared" ca="1" si="3"/>
        <v>71.297798168726786</v>
      </c>
      <c r="G59" s="2">
        <f t="shared" ca="1" si="4"/>
        <v>72.037827861990706</v>
      </c>
    </row>
    <row r="60" spans="1:7" ht="18.75" x14ac:dyDescent="0.25">
      <c r="A60" s="3">
        <v>38292</v>
      </c>
      <c r="B60" s="2">
        <v>78.099999999999994</v>
      </c>
      <c r="C60" s="4">
        <f t="shared" ca="1" si="0"/>
        <v>78.4416912287776</v>
      </c>
      <c r="D60" s="5">
        <f t="shared" ca="1" si="1"/>
        <v>82.647666781151273</v>
      </c>
      <c r="E60" s="5">
        <f t="shared" ca="1" si="2"/>
        <v>62.50961772057402</v>
      </c>
      <c r="F60" s="2">
        <f t="shared" ca="1" si="3"/>
        <v>80.944601841549385</v>
      </c>
      <c r="G60" s="2">
        <f t="shared" ca="1" si="4"/>
        <v>58.397093037899864</v>
      </c>
    </row>
    <row r="61" spans="1:7" ht="18.75" x14ac:dyDescent="0.25">
      <c r="A61" s="3">
        <v>38322</v>
      </c>
      <c r="B61" s="2">
        <v>96</v>
      </c>
      <c r="C61" s="4">
        <f t="shared" ca="1" si="0"/>
        <v>96.446628227817456</v>
      </c>
      <c r="D61" s="5">
        <f t="shared" ca="1" si="1"/>
        <v>98.728794446427841</v>
      </c>
      <c r="E61" s="5">
        <f t="shared" ca="1" si="2"/>
        <v>84.929385188299392</v>
      </c>
      <c r="F61" s="2">
        <f t="shared" ca="1" si="3"/>
        <v>91.982545386857794</v>
      </c>
      <c r="G61" s="2">
        <f t="shared" ca="1" si="4"/>
        <v>85.207557333686168</v>
      </c>
    </row>
    <row r="62" spans="1:7" ht="18.75" x14ac:dyDescent="0.25">
      <c r="A62" s="3">
        <v>38353</v>
      </c>
      <c r="B62" s="2">
        <v>70.2</v>
      </c>
      <c r="C62" s="4">
        <f t="shared" ca="1" si="0"/>
        <v>70.926761291599448</v>
      </c>
      <c r="D62" s="5">
        <f t="shared" ca="1" si="1"/>
        <v>69.682522270866954</v>
      </c>
      <c r="E62" s="5">
        <f t="shared" ca="1" si="2"/>
        <v>74.214568426227331</v>
      </c>
      <c r="F62" s="2">
        <f t="shared" ca="1" si="3"/>
        <v>57.581032259166072</v>
      </c>
      <c r="G62" s="2">
        <f t="shared" ca="1" si="4"/>
        <v>71.572045096714149</v>
      </c>
    </row>
    <row r="63" spans="1:7" ht="18.75" x14ac:dyDescent="0.25">
      <c r="A63" s="3">
        <v>38384</v>
      </c>
      <c r="B63" s="2">
        <v>69.8</v>
      </c>
      <c r="C63" s="4">
        <f t="shared" ca="1" si="0"/>
        <v>69.578799470667192</v>
      </c>
      <c r="D63" s="5">
        <f t="shared" ca="1" si="1"/>
        <v>71.906954348327119</v>
      </c>
      <c r="E63" s="5">
        <f t="shared" ca="1" si="2"/>
        <v>66.759014498848543</v>
      </c>
      <c r="F63" s="2">
        <f t="shared" ca="1" si="3"/>
        <v>73.720544703386679</v>
      </c>
      <c r="G63" s="2">
        <f t="shared" ca="1" si="4"/>
        <v>79.301687603888851</v>
      </c>
    </row>
    <row r="64" spans="1:7" ht="18.75" x14ac:dyDescent="0.25">
      <c r="A64" s="3">
        <v>38412</v>
      </c>
      <c r="B64" s="2">
        <v>79.2</v>
      </c>
      <c r="C64" s="4">
        <f t="shared" ca="1" si="0"/>
        <v>78.423969028312058</v>
      </c>
      <c r="D64" s="5">
        <f t="shared" ca="1" si="1"/>
        <v>82.378852400383366</v>
      </c>
      <c r="E64" s="5">
        <f t="shared" ca="1" si="2"/>
        <v>81.466522848526083</v>
      </c>
      <c r="F64" s="2">
        <f t="shared" ca="1" si="3"/>
        <v>79.387313974248229</v>
      </c>
      <c r="G64" s="2">
        <f t="shared" ca="1" si="4"/>
        <v>68.9100477083078</v>
      </c>
    </row>
    <row r="65" spans="1:7" ht="18.75" x14ac:dyDescent="0.25">
      <c r="A65" s="3">
        <v>38443</v>
      </c>
      <c r="B65" s="2">
        <v>77.599999999999994</v>
      </c>
      <c r="C65" s="4">
        <f t="shared" ca="1" si="0"/>
        <v>78.19531148429428</v>
      </c>
      <c r="D65" s="5">
        <f t="shared" ca="1" si="1"/>
        <v>79.012265911448793</v>
      </c>
      <c r="E65" s="5">
        <f t="shared" ca="1" si="2"/>
        <v>74.573382956047098</v>
      </c>
      <c r="F65" s="2">
        <f t="shared" ca="1" si="3"/>
        <v>83.300017290177465</v>
      </c>
      <c r="G65" s="2">
        <f t="shared" ca="1" si="4"/>
        <v>61.192218783983691</v>
      </c>
    </row>
    <row r="66" spans="1:7" ht="18.75" x14ac:dyDescent="0.25">
      <c r="A66" s="3">
        <v>38473</v>
      </c>
      <c r="B66" s="2">
        <v>76.2</v>
      </c>
      <c r="C66" s="4">
        <f t="shared" ca="1" si="0"/>
        <v>75.545576222728329</v>
      </c>
      <c r="D66" s="5">
        <f t="shared" ca="1" si="1"/>
        <v>81.702075869095708</v>
      </c>
      <c r="E66" s="5">
        <f t="shared" ca="1" si="2"/>
        <v>74.244035674351124</v>
      </c>
      <c r="F66" s="2">
        <f t="shared" ca="1" si="3"/>
        <v>84.5125021565905</v>
      </c>
      <c r="G66" s="2">
        <f t="shared" ca="1" si="4"/>
        <v>56.493400775242087</v>
      </c>
    </row>
    <row r="67" spans="1:7" ht="18.75" x14ac:dyDescent="0.25">
      <c r="A67" s="3">
        <v>38504</v>
      </c>
      <c r="B67" s="2">
        <v>81.3</v>
      </c>
      <c r="C67" s="4">
        <f t="shared" ref="C67:C130" ca="1" si="5">B67+NORMINV(RAND(),0,1)</f>
        <v>80.291792587438792</v>
      </c>
      <c r="D67" s="5">
        <f t="shared" ref="D67:D130" ca="1" si="6">B67+NORMINV(RAND(),0,3)</f>
        <v>84.09840848711876</v>
      </c>
      <c r="E67" s="5">
        <f t="shared" ref="E67:E130" ca="1" si="7">B67+NORMINV(RAND(),0,5)</f>
        <v>72.765634340618647</v>
      </c>
      <c r="F67" s="2">
        <f t="shared" ref="F67:F130" ca="1" si="8">B67+NORMINV(RAND(),0,10)</f>
        <v>77.143111938274231</v>
      </c>
      <c r="G67" s="2">
        <f t="shared" ref="G67:G130" ca="1" si="9">B67+NORMINV(RAND(),0,15)</f>
        <v>68.496140223435134</v>
      </c>
    </row>
    <row r="68" spans="1:7" ht="18.75" x14ac:dyDescent="0.25">
      <c r="A68" s="3">
        <v>38534</v>
      </c>
      <c r="B68" s="2">
        <v>80.900000000000006</v>
      </c>
      <c r="C68" s="4">
        <f t="shared" ca="1" si="5"/>
        <v>79.162233645513439</v>
      </c>
      <c r="D68" s="5">
        <f t="shared" ca="1" si="6"/>
        <v>75.644031377835915</v>
      </c>
      <c r="E68" s="5">
        <f t="shared" ca="1" si="7"/>
        <v>73.96429709413016</v>
      </c>
      <c r="F68" s="2">
        <f t="shared" ca="1" si="8"/>
        <v>87.986304101598662</v>
      </c>
      <c r="G68" s="2">
        <f t="shared" ca="1" si="9"/>
        <v>82.527898248679435</v>
      </c>
    </row>
    <row r="69" spans="1:7" ht="18.75" x14ac:dyDescent="0.25">
      <c r="A69" s="3">
        <v>38565</v>
      </c>
      <c r="B69" s="2">
        <v>81.2</v>
      </c>
      <c r="C69" s="4">
        <f t="shared" ca="1" si="5"/>
        <v>81.829267934631261</v>
      </c>
      <c r="D69" s="5">
        <f t="shared" ca="1" si="6"/>
        <v>78.134625665846883</v>
      </c>
      <c r="E69" s="5">
        <f t="shared" ca="1" si="7"/>
        <v>83.449284994478433</v>
      </c>
      <c r="F69" s="2">
        <f t="shared" ca="1" si="8"/>
        <v>69.944786674128991</v>
      </c>
      <c r="G69" s="2">
        <f t="shared" ca="1" si="9"/>
        <v>89.993240034406242</v>
      </c>
    </row>
    <row r="70" spans="1:7" ht="18.75" x14ac:dyDescent="0.25">
      <c r="A70" s="3">
        <v>38596</v>
      </c>
      <c r="B70" s="2">
        <v>77.2</v>
      </c>
      <c r="C70" s="4">
        <f t="shared" ca="1" si="5"/>
        <v>76.75803153055881</v>
      </c>
      <c r="D70" s="5">
        <f t="shared" ca="1" si="6"/>
        <v>75.974044618552739</v>
      </c>
      <c r="E70" s="5">
        <f t="shared" ca="1" si="7"/>
        <v>87.743904577936419</v>
      </c>
      <c r="F70" s="2">
        <f t="shared" ca="1" si="8"/>
        <v>85.63096476504569</v>
      </c>
      <c r="G70" s="2">
        <f t="shared" ca="1" si="9"/>
        <v>75.815932289221863</v>
      </c>
    </row>
    <row r="71" spans="1:7" ht="18.75" x14ac:dyDescent="0.25">
      <c r="A71" s="3">
        <v>38626</v>
      </c>
      <c r="B71" s="2">
        <v>76.400000000000006</v>
      </c>
      <c r="C71" s="4">
        <f t="shared" ca="1" si="5"/>
        <v>77.515412313661557</v>
      </c>
      <c r="D71" s="5">
        <f t="shared" ca="1" si="6"/>
        <v>74.363298095171515</v>
      </c>
      <c r="E71" s="5">
        <f t="shared" ca="1" si="7"/>
        <v>74.524363890617153</v>
      </c>
      <c r="F71" s="2">
        <f t="shared" ca="1" si="8"/>
        <v>81.052908524483215</v>
      </c>
      <c r="G71" s="2">
        <f t="shared" ca="1" si="9"/>
        <v>71.269686632967662</v>
      </c>
    </row>
    <row r="72" spans="1:7" ht="18.75" x14ac:dyDescent="0.25">
      <c r="A72" s="3">
        <v>38657</v>
      </c>
      <c r="B72" s="2">
        <v>78.599999999999994</v>
      </c>
      <c r="C72" s="4">
        <f t="shared" ca="1" si="5"/>
        <v>77.805120875006722</v>
      </c>
      <c r="D72" s="5">
        <f t="shared" ca="1" si="6"/>
        <v>79.415202203406665</v>
      </c>
      <c r="E72" s="5">
        <f t="shared" ca="1" si="7"/>
        <v>82.540044274224542</v>
      </c>
      <c r="F72" s="2">
        <f t="shared" ca="1" si="8"/>
        <v>80.559981190365534</v>
      </c>
      <c r="G72" s="2">
        <f t="shared" ca="1" si="9"/>
        <v>92.536258761038482</v>
      </c>
    </row>
    <row r="73" spans="1:7" ht="18.75" x14ac:dyDescent="0.25">
      <c r="A73" s="3">
        <v>38687</v>
      </c>
      <c r="B73" s="2">
        <v>96.3</v>
      </c>
      <c r="C73" s="4">
        <f t="shared" ca="1" si="5"/>
        <v>96.603052116960697</v>
      </c>
      <c r="D73" s="5">
        <f t="shared" ca="1" si="6"/>
        <v>96.094345478732095</v>
      </c>
      <c r="E73" s="5">
        <f t="shared" ca="1" si="7"/>
        <v>97.187503019210524</v>
      </c>
      <c r="F73" s="2">
        <f t="shared" ca="1" si="8"/>
        <v>101.27731881100468</v>
      </c>
      <c r="G73" s="2">
        <f t="shared" ca="1" si="9"/>
        <v>97.890020283164446</v>
      </c>
    </row>
    <row r="74" spans="1:7" ht="18.75" x14ac:dyDescent="0.25">
      <c r="A74" s="3">
        <v>38718</v>
      </c>
      <c r="B74" s="2">
        <v>73.2</v>
      </c>
      <c r="C74" s="4">
        <f t="shared" ca="1" si="5"/>
        <v>72.257234870388729</v>
      </c>
      <c r="D74" s="5">
        <f t="shared" ca="1" si="6"/>
        <v>72.31818428442466</v>
      </c>
      <c r="E74" s="5">
        <f t="shared" ca="1" si="7"/>
        <v>72.459273649359602</v>
      </c>
      <c r="F74" s="2">
        <f t="shared" ca="1" si="8"/>
        <v>79.471851246958565</v>
      </c>
      <c r="G74" s="2">
        <f t="shared" ca="1" si="9"/>
        <v>89.688883744268196</v>
      </c>
    </row>
    <row r="75" spans="1:7" ht="18.75" x14ac:dyDescent="0.25">
      <c r="A75" s="3">
        <v>38749</v>
      </c>
      <c r="B75" s="2">
        <v>71.7</v>
      </c>
      <c r="C75" s="4">
        <f t="shared" ca="1" si="5"/>
        <v>72.051955414305127</v>
      </c>
      <c r="D75" s="5">
        <f t="shared" ca="1" si="6"/>
        <v>68.925966838358207</v>
      </c>
      <c r="E75" s="5">
        <f t="shared" ca="1" si="7"/>
        <v>71.966439121376254</v>
      </c>
      <c r="F75" s="2">
        <f t="shared" ca="1" si="8"/>
        <v>68.660854294808928</v>
      </c>
      <c r="G75" s="2">
        <f t="shared" ca="1" si="9"/>
        <v>72.730671057099812</v>
      </c>
    </row>
    <row r="76" spans="1:7" ht="18.75" x14ac:dyDescent="0.25">
      <c r="A76" s="3">
        <v>38777</v>
      </c>
      <c r="B76" s="2">
        <v>81</v>
      </c>
      <c r="C76" s="4">
        <f t="shared" ca="1" si="5"/>
        <v>79.579185034241661</v>
      </c>
      <c r="D76" s="5">
        <f t="shared" ca="1" si="6"/>
        <v>84.976573240639468</v>
      </c>
      <c r="E76" s="5">
        <f t="shared" ca="1" si="7"/>
        <v>83.008067280734139</v>
      </c>
      <c r="F76" s="2">
        <f t="shared" ca="1" si="8"/>
        <v>64.469120957367835</v>
      </c>
      <c r="G76" s="2">
        <f t="shared" ca="1" si="9"/>
        <v>92.437188465111774</v>
      </c>
    </row>
    <row r="77" spans="1:7" ht="18.75" x14ac:dyDescent="0.25">
      <c r="A77" s="3">
        <v>38808</v>
      </c>
      <c r="B77" s="2">
        <v>78.599999999999994</v>
      </c>
      <c r="C77" s="4">
        <f t="shared" ca="1" si="5"/>
        <v>77.799600968942272</v>
      </c>
      <c r="D77" s="5">
        <f t="shared" ca="1" si="6"/>
        <v>71.063969285242251</v>
      </c>
      <c r="E77" s="5">
        <f t="shared" ca="1" si="7"/>
        <v>77.529976678878057</v>
      </c>
      <c r="F77" s="2">
        <f t="shared" ca="1" si="8"/>
        <v>68.526399453810853</v>
      </c>
      <c r="G77" s="2">
        <f t="shared" ca="1" si="9"/>
        <v>98.964047616738014</v>
      </c>
    </row>
    <row r="78" spans="1:7" ht="18.75" x14ac:dyDescent="0.25">
      <c r="A78" s="3">
        <v>38838</v>
      </c>
      <c r="B78" s="2">
        <v>81.5</v>
      </c>
      <c r="C78" s="4">
        <f t="shared" ca="1" si="5"/>
        <v>81.311700899365491</v>
      </c>
      <c r="D78" s="5">
        <f t="shared" ca="1" si="6"/>
        <v>81.719347455137637</v>
      </c>
      <c r="E78" s="5">
        <f t="shared" ca="1" si="7"/>
        <v>98.596812288021155</v>
      </c>
      <c r="F78" s="2">
        <f t="shared" ca="1" si="8"/>
        <v>81.652658884687057</v>
      </c>
      <c r="G78" s="2">
        <f t="shared" ca="1" si="9"/>
        <v>78.660629330610405</v>
      </c>
    </row>
    <row r="79" spans="1:7" ht="18.75" x14ac:dyDescent="0.25">
      <c r="A79" s="3">
        <v>38869</v>
      </c>
      <c r="B79" s="2">
        <v>85.5</v>
      </c>
      <c r="C79" s="4">
        <f t="shared" ca="1" si="5"/>
        <v>89.212649761319369</v>
      </c>
      <c r="D79" s="5">
        <f t="shared" ca="1" si="6"/>
        <v>88.874514993071017</v>
      </c>
      <c r="E79" s="5">
        <f t="shared" ca="1" si="7"/>
        <v>93.196236911782123</v>
      </c>
      <c r="F79" s="2">
        <f t="shared" ca="1" si="8"/>
        <v>85.056859597471771</v>
      </c>
      <c r="G79" s="2">
        <f t="shared" ca="1" si="9"/>
        <v>79.699906941335342</v>
      </c>
    </row>
    <row r="80" spans="1:7" ht="18.75" x14ac:dyDescent="0.25">
      <c r="A80" s="3">
        <v>38899</v>
      </c>
      <c r="B80" s="2">
        <v>83.9</v>
      </c>
      <c r="C80" s="4">
        <f t="shared" ca="1" si="5"/>
        <v>84.721068850922421</v>
      </c>
      <c r="D80" s="5">
        <f t="shared" ca="1" si="6"/>
        <v>90.29774304173614</v>
      </c>
      <c r="E80" s="5">
        <f t="shared" ca="1" si="7"/>
        <v>82.263706394321403</v>
      </c>
      <c r="F80" s="2">
        <f t="shared" ca="1" si="8"/>
        <v>99.49370753123992</v>
      </c>
      <c r="G80" s="2">
        <f t="shared" ca="1" si="9"/>
        <v>87.542869978518539</v>
      </c>
    </row>
    <row r="81" spans="1:7" ht="18.75" x14ac:dyDescent="0.25">
      <c r="A81" s="3">
        <v>38930</v>
      </c>
      <c r="B81" s="2">
        <v>84.5</v>
      </c>
      <c r="C81" s="4">
        <f t="shared" ca="1" si="5"/>
        <v>85.350759341021018</v>
      </c>
      <c r="D81" s="5">
        <f t="shared" ca="1" si="6"/>
        <v>85.942613724375491</v>
      </c>
      <c r="E81" s="5">
        <f t="shared" ca="1" si="7"/>
        <v>77.638507962923086</v>
      </c>
      <c r="F81" s="2">
        <f t="shared" ca="1" si="8"/>
        <v>69.888980008166243</v>
      </c>
      <c r="G81" s="2">
        <f t="shared" ca="1" si="9"/>
        <v>94.420765418655037</v>
      </c>
    </row>
    <row r="82" spans="1:7" ht="18.75" x14ac:dyDescent="0.25">
      <c r="A82" s="3">
        <v>38961</v>
      </c>
      <c r="B82" s="2">
        <v>81.099999999999994</v>
      </c>
      <c r="C82" s="4">
        <f t="shared" ca="1" si="5"/>
        <v>80.795338837653617</v>
      </c>
      <c r="D82" s="5">
        <f t="shared" ca="1" si="6"/>
        <v>81.83971684655512</v>
      </c>
      <c r="E82" s="5">
        <f t="shared" ca="1" si="7"/>
        <v>83.558408839545834</v>
      </c>
      <c r="F82" s="2">
        <f t="shared" ca="1" si="8"/>
        <v>102.19785970365822</v>
      </c>
      <c r="G82" s="2">
        <f t="shared" ca="1" si="9"/>
        <v>86.489065960839866</v>
      </c>
    </row>
    <row r="83" spans="1:7" ht="18.75" x14ac:dyDescent="0.25">
      <c r="A83" s="3">
        <v>38991</v>
      </c>
      <c r="B83" s="2">
        <v>79.2</v>
      </c>
      <c r="C83" s="4">
        <f t="shared" ca="1" si="5"/>
        <v>78.649796936974028</v>
      </c>
      <c r="D83" s="5">
        <f t="shared" ca="1" si="6"/>
        <v>79.079544997248703</v>
      </c>
      <c r="E83" s="5">
        <f t="shared" ca="1" si="7"/>
        <v>85.071455272668302</v>
      </c>
      <c r="F83" s="2">
        <f t="shared" ca="1" si="8"/>
        <v>79.432089914775844</v>
      </c>
      <c r="G83" s="2">
        <f t="shared" ca="1" si="9"/>
        <v>74.820586827481776</v>
      </c>
    </row>
    <row r="84" spans="1:7" ht="18.75" x14ac:dyDescent="0.25">
      <c r="A84" s="3">
        <v>39022</v>
      </c>
      <c r="B84" s="2">
        <v>81.8</v>
      </c>
      <c r="C84" s="4">
        <f t="shared" ca="1" si="5"/>
        <v>82.17625278483915</v>
      </c>
      <c r="D84" s="5">
        <f t="shared" ca="1" si="6"/>
        <v>86.096646295526952</v>
      </c>
      <c r="E84" s="5">
        <f t="shared" ca="1" si="7"/>
        <v>87.327866545472872</v>
      </c>
      <c r="F84" s="2">
        <f t="shared" ca="1" si="8"/>
        <v>97.871435765298855</v>
      </c>
      <c r="G84" s="2">
        <f t="shared" ca="1" si="9"/>
        <v>71.887359023361199</v>
      </c>
    </row>
    <row r="85" spans="1:7" ht="18.75" x14ac:dyDescent="0.25">
      <c r="A85" s="3">
        <v>39052</v>
      </c>
      <c r="B85" s="2">
        <v>99</v>
      </c>
      <c r="C85" s="4">
        <f t="shared" ca="1" si="5"/>
        <v>99.766130192765431</v>
      </c>
      <c r="D85" s="5">
        <f t="shared" ca="1" si="6"/>
        <v>97.724915005855834</v>
      </c>
      <c r="E85" s="5">
        <f t="shared" ca="1" si="7"/>
        <v>95.641596175380357</v>
      </c>
      <c r="F85" s="2">
        <f t="shared" ca="1" si="8"/>
        <v>110.45318592979065</v>
      </c>
      <c r="G85" s="2">
        <f t="shared" ca="1" si="9"/>
        <v>95.584315740749219</v>
      </c>
    </row>
    <row r="86" spans="1:7" ht="18.75" x14ac:dyDescent="0.25">
      <c r="A86" s="3">
        <v>39083</v>
      </c>
      <c r="B86" s="2">
        <v>77.099999999999994</v>
      </c>
      <c r="C86" s="4">
        <f t="shared" ca="1" si="5"/>
        <v>78.147404075273386</v>
      </c>
      <c r="D86" s="5">
        <f t="shared" ca="1" si="6"/>
        <v>82.256666543188956</v>
      </c>
      <c r="E86" s="5">
        <f t="shared" ca="1" si="7"/>
        <v>78.738959201593559</v>
      </c>
      <c r="F86" s="2">
        <f t="shared" ca="1" si="8"/>
        <v>82.738122382650587</v>
      </c>
      <c r="G86" s="2">
        <f t="shared" ca="1" si="9"/>
        <v>75.857176271077762</v>
      </c>
    </row>
    <row r="87" spans="1:7" ht="18.75" x14ac:dyDescent="0.25">
      <c r="A87" s="3">
        <v>39114</v>
      </c>
      <c r="B87" s="2">
        <v>75.599999999999994</v>
      </c>
      <c r="C87" s="4">
        <f t="shared" ca="1" si="5"/>
        <v>76.357313591514554</v>
      </c>
      <c r="D87" s="5">
        <f t="shared" ca="1" si="6"/>
        <v>80.368437888352943</v>
      </c>
      <c r="E87" s="5">
        <f t="shared" ca="1" si="7"/>
        <v>74.451355053992529</v>
      </c>
      <c r="F87" s="2">
        <f t="shared" ca="1" si="8"/>
        <v>73.846997327868678</v>
      </c>
      <c r="G87" s="2">
        <f t="shared" ca="1" si="9"/>
        <v>86.389553401483226</v>
      </c>
    </row>
    <row r="88" spans="1:7" ht="18.75" x14ac:dyDescent="0.25">
      <c r="A88" s="3">
        <v>39142</v>
      </c>
      <c r="B88" s="2">
        <v>88.2</v>
      </c>
      <c r="C88" s="4">
        <f t="shared" ca="1" si="5"/>
        <v>88.059679172331514</v>
      </c>
      <c r="D88" s="5">
        <f t="shared" ca="1" si="6"/>
        <v>88.143519560037092</v>
      </c>
      <c r="E88" s="5">
        <f t="shared" ca="1" si="7"/>
        <v>85.895353949970428</v>
      </c>
      <c r="F88" s="2">
        <f t="shared" ca="1" si="8"/>
        <v>93.228358731972378</v>
      </c>
      <c r="G88" s="2">
        <f t="shared" ca="1" si="9"/>
        <v>87.64890557599864</v>
      </c>
    </row>
    <row r="89" spans="1:7" ht="18.75" x14ac:dyDescent="0.25">
      <c r="A89" s="3">
        <v>39173</v>
      </c>
      <c r="B89" s="2">
        <v>79.099999999999994</v>
      </c>
      <c r="C89" s="4">
        <f t="shared" ca="1" si="5"/>
        <v>78.244007188481575</v>
      </c>
      <c r="D89" s="5">
        <f t="shared" ca="1" si="6"/>
        <v>76.653599488332233</v>
      </c>
      <c r="E89" s="5">
        <f t="shared" ca="1" si="7"/>
        <v>78.843667035066645</v>
      </c>
      <c r="F89" s="2">
        <f t="shared" ca="1" si="8"/>
        <v>103.42798114949028</v>
      </c>
      <c r="G89" s="2">
        <f t="shared" ca="1" si="9"/>
        <v>84.774960750702036</v>
      </c>
    </row>
    <row r="90" spans="1:7" ht="18.75" x14ac:dyDescent="0.25">
      <c r="A90" s="3">
        <v>39203</v>
      </c>
      <c r="B90" s="2">
        <v>84.8</v>
      </c>
      <c r="C90" s="4">
        <f t="shared" ca="1" si="5"/>
        <v>84.95588026267626</v>
      </c>
      <c r="D90" s="5">
        <f t="shared" ca="1" si="6"/>
        <v>85.00969328490487</v>
      </c>
      <c r="E90" s="5">
        <f t="shared" ca="1" si="7"/>
        <v>82.654109399833658</v>
      </c>
      <c r="F90" s="2">
        <f t="shared" ca="1" si="8"/>
        <v>99.063945476614407</v>
      </c>
      <c r="G90" s="2">
        <f t="shared" ca="1" si="9"/>
        <v>70.853615637998317</v>
      </c>
    </row>
    <row r="91" spans="1:7" ht="18.75" x14ac:dyDescent="0.25">
      <c r="A91" s="3">
        <v>39234</v>
      </c>
      <c r="B91" s="2">
        <v>91.2</v>
      </c>
      <c r="C91" s="4">
        <f t="shared" ca="1" si="5"/>
        <v>90.965578826238058</v>
      </c>
      <c r="D91" s="5">
        <f t="shared" ca="1" si="6"/>
        <v>88.587330599353493</v>
      </c>
      <c r="E91" s="5">
        <f t="shared" ca="1" si="7"/>
        <v>92.193087168156012</v>
      </c>
      <c r="F91" s="2">
        <f t="shared" ca="1" si="8"/>
        <v>84.645054671142191</v>
      </c>
      <c r="G91" s="2">
        <f t="shared" ca="1" si="9"/>
        <v>81.433284234570081</v>
      </c>
    </row>
    <row r="92" spans="1:7" ht="18.75" x14ac:dyDescent="0.25">
      <c r="A92" s="3">
        <v>39264</v>
      </c>
      <c r="B92" s="2">
        <v>84.5</v>
      </c>
      <c r="C92" s="4">
        <f t="shared" ca="1" si="5"/>
        <v>84.173265285904066</v>
      </c>
      <c r="D92" s="5">
        <f t="shared" ca="1" si="6"/>
        <v>84.771706076159461</v>
      </c>
      <c r="E92" s="5">
        <f t="shared" ca="1" si="7"/>
        <v>87.280037202025355</v>
      </c>
      <c r="F92" s="2">
        <f t="shared" ca="1" si="8"/>
        <v>79.826288717530389</v>
      </c>
      <c r="G92" s="2">
        <f t="shared" ca="1" si="9"/>
        <v>70.280914692778879</v>
      </c>
    </row>
    <row r="93" spans="1:7" ht="18.75" x14ac:dyDescent="0.25">
      <c r="A93" s="3">
        <v>39295</v>
      </c>
      <c r="B93" s="2">
        <v>88.8</v>
      </c>
      <c r="C93" s="4">
        <f t="shared" ca="1" si="5"/>
        <v>88.051776336259337</v>
      </c>
      <c r="D93" s="5">
        <f t="shared" ca="1" si="6"/>
        <v>92.003820310694422</v>
      </c>
      <c r="E93" s="5">
        <f t="shared" ca="1" si="7"/>
        <v>84.133244249296027</v>
      </c>
      <c r="F93" s="2">
        <f t="shared" ca="1" si="8"/>
        <v>92.98092098488388</v>
      </c>
      <c r="G93" s="2">
        <f t="shared" ca="1" si="9"/>
        <v>79.321293631420446</v>
      </c>
    </row>
    <row r="94" spans="1:7" ht="18.75" x14ac:dyDescent="0.25">
      <c r="A94" s="3">
        <v>39326</v>
      </c>
      <c r="B94" s="2">
        <v>82.1</v>
      </c>
      <c r="C94" s="4">
        <f t="shared" ca="1" si="5"/>
        <v>83.116124752186991</v>
      </c>
      <c r="D94" s="5">
        <f t="shared" ca="1" si="6"/>
        <v>83.57173863472218</v>
      </c>
      <c r="E94" s="5">
        <f t="shared" ca="1" si="7"/>
        <v>87.566204227029957</v>
      </c>
      <c r="F94" s="2">
        <f t="shared" ca="1" si="8"/>
        <v>75.606986112235901</v>
      </c>
      <c r="G94" s="2">
        <f t="shared" ca="1" si="9"/>
        <v>109.52509530585597</v>
      </c>
    </row>
    <row r="95" spans="1:7" ht="18.75" x14ac:dyDescent="0.25">
      <c r="A95" s="3">
        <v>39356</v>
      </c>
      <c r="B95" s="2">
        <v>85.8</v>
      </c>
      <c r="C95" s="4">
        <f t="shared" ca="1" si="5"/>
        <v>87.600123444358005</v>
      </c>
      <c r="D95" s="5">
        <f t="shared" ca="1" si="6"/>
        <v>82.195878425500084</v>
      </c>
      <c r="E95" s="5">
        <f t="shared" ca="1" si="7"/>
        <v>92.579058261267178</v>
      </c>
      <c r="F95" s="2">
        <f t="shared" ca="1" si="8"/>
        <v>66.734283693783567</v>
      </c>
      <c r="G95" s="2">
        <f t="shared" ca="1" si="9"/>
        <v>60.423301261012298</v>
      </c>
    </row>
    <row r="96" spans="1:7" ht="18.75" x14ac:dyDescent="0.25">
      <c r="A96" s="3">
        <v>39387</v>
      </c>
      <c r="B96" s="2">
        <v>87.2</v>
      </c>
      <c r="C96" s="4">
        <f t="shared" ca="1" si="5"/>
        <v>86.348756296475273</v>
      </c>
      <c r="D96" s="5">
        <f t="shared" ca="1" si="6"/>
        <v>87.654756141862208</v>
      </c>
      <c r="E96" s="5">
        <f t="shared" ca="1" si="7"/>
        <v>80.379436447160785</v>
      </c>
      <c r="F96" s="2">
        <f t="shared" ca="1" si="8"/>
        <v>96.255098886120493</v>
      </c>
      <c r="G96" s="2">
        <f t="shared" ca="1" si="9"/>
        <v>72.000471733024256</v>
      </c>
    </row>
    <row r="97" spans="1:7" ht="18.75" x14ac:dyDescent="0.25">
      <c r="A97" s="3">
        <v>39417</v>
      </c>
      <c r="B97" s="2">
        <v>102.7</v>
      </c>
      <c r="C97" s="4">
        <f t="shared" ca="1" si="5"/>
        <v>101.81440603046669</v>
      </c>
      <c r="D97" s="5">
        <f t="shared" ca="1" si="6"/>
        <v>100.92951883441819</v>
      </c>
      <c r="E97" s="5">
        <f t="shared" ca="1" si="7"/>
        <v>97.611183905608712</v>
      </c>
      <c r="F97" s="2">
        <f t="shared" ca="1" si="8"/>
        <v>91.265384153712986</v>
      </c>
      <c r="G97" s="2">
        <f t="shared" ca="1" si="9"/>
        <v>114.04286052619851</v>
      </c>
    </row>
    <row r="98" spans="1:7" ht="18.75" x14ac:dyDescent="0.25">
      <c r="A98" s="3">
        <v>39448</v>
      </c>
      <c r="B98" s="2">
        <v>79.8</v>
      </c>
      <c r="C98" s="4">
        <f t="shared" ca="1" si="5"/>
        <v>79.234451944904549</v>
      </c>
      <c r="D98" s="5">
        <f t="shared" ca="1" si="6"/>
        <v>72.871171266604208</v>
      </c>
      <c r="E98" s="5">
        <f t="shared" ca="1" si="7"/>
        <v>70.474895749703066</v>
      </c>
      <c r="F98" s="2">
        <f t="shared" ca="1" si="8"/>
        <v>72.306709903488851</v>
      </c>
      <c r="G98" s="2">
        <f t="shared" ca="1" si="9"/>
        <v>75.837379828789963</v>
      </c>
    </row>
    <row r="99" spans="1:7" ht="18.75" x14ac:dyDescent="0.25">
      <c r="A99" s="3">
        <v>39479</v>
      </c>
      <c r="B99" s="2">
        <v>81.8</v>
      </c>
      <c r="C99" s="4">
        <f t="shared" ca="1" si="5"/>
        <v>80.932413331493919</v>
      </c>
      <c r="D99" s="5">
        <f t="shared" ca="1" si="6"/>
        <v>82.5576828175153</v>
      </c>
      <c r="E99" s="5">
        <f t="shared" ca="1" si="7"/>
        <v>78.677183166497883</v>
      </c>
      <c r="F99" s="2">
        <f t="shared" ca="1" si="8"/>
        <v>73.428325346087959</v>
      </c>
      <c r="G99" s="2">
        <f t="shared" ca="1" si="9"/>
        <v>99.055345989441562</v>
      </c>
    </row>
    <row r="100" spans="1:7" ht="18.75" x14ac:dyDescent="0.25">
      <c r="A100" s="3">
        <v>39508</v>
      </c>
      <c r="B100" s="2">
        <v>87</v>
      </c>
      <c r="C100" s="4">
        <f t="shared" ca="1" si="5"/>
        <v>87.663388956861638</v>
      </c>
      <c r="D100" s="5">
        <f t="shared" ca="1" si="6"/>
        <v>86.115339220594322</v>
      </c>
      <c r="E100" s="5">
        <f t="shared" ca="1" si="7"/>
        <v>77.332627606916319</v>
      </c>
      <c r="F100" s="2">
        <f t="shared" ca="1" si="8"/>
        <v>95.577007137366451</v>
      </c>
      <c r="G100" s="2">
        <f t="shared" ca="1" si="9"/>
        <v>92.386868799198879</v>
      </c>
    </row>
    <row r="101" spans="1:7" ht="18.75" x14ac:dyDescent="0.25">
      <c r="A101" s="3">
        <v>39539</v>
      </c>
      <c r="B101" s="2">
        <v>85.6</v>
      </c>
      <c r="C101" s="4">
        <f t="shared" ca="1" si="5"/>
        <v>85.624805906531478</v>
      </c>
      <c r="D101" s="5">
        <f t="shared" ca="1" si="6"/>
        <v>93.132632965146399</v>
      </c>
      <c r="E101" s="5">
        <f t="shared" ca="1" si="7"/>
        <v>91.81835102959073</v>
      </c>
      <c r="F101" s="2">
        <f t="shared" ca="1" si="8"/>
        <v>79.475711514405234</v>
      </c>
      <c r="G101" s="2">
        <f t="shared" ca="1" si="9"/>
        <v>89.150594948259211</v>
      </c>
    </row>
    <row r="102" spans="1:7" ht="18.75" x14ac:dyDescent="0.25">
      <c r="A102" s="3">
        <v>39569</v>
      </c>
      <c r="B102" s="2">
        <v>90.7</v>
      </c>
      <c r="C102" s="4">
        <f t="shared" ca="1" si="5"/>
        <v>90.253464638676789</v>
      </c>
      <c r="D102" s="5">
        <f t="shared" ca="1" si="6"/>
        <v>87.464391147747591</v>
      </c>
      <c r="E102" s="5">
        <f t="shared" ca="1" si="7"/>
        <v>83.12771230449448</v>
      </c>
      <c r="F102" s="2">
        <f t="shared" ca="1" si="8"/>
        <v>82.605131342653038</v>
      </c>
      <c r="G102" s="2">
        <f t="shared" ca="1" si="9"/>
        <v>94.039389311879006</v>
      </c>
    </row>
    <row r="103" spans="1:7" ht="18.75" x14ac:dyDescent="0.25">
      <c r="A103" s="3">
        <v>39600</v>
      </c>
      <c r="B103" s="2">
        <v>88.7</v>
      </c>
      <c r="C103" s="4">
        <f t="shared" ca="1" si="5"/>
        <v>88.304490321060314</v>
      </c>
      <c r="D103" s="5">
        <f t="shared" ca="1" si="6"/>
        <v>91.73907655266413</v>
      </c>
      <c r="E103" s="5">
        <f t="shared" ca="1" si="7"/>
        <v>91.564531799297995</v>
      </c>
      <c r="F103" s="2">
        <f t="shared" ca="1" si="8"/>
        <v>105.71427443544283</v>
      </c>
      <c r="G103" s="2">
        <f t="shared" ca="1" si="9"/>
        <v>71.250916918902774</v>
      </c>
    </row>
    <row r="104" spans="1:7" ht="18.75" x14ac:dyDescent="0.25">
      <c r="A104" s="3">
        <v>39630</v>
      </c>
      <c r="B104" s="2">
        <v>91.2</v>
      </c>
      <c r="C104" s="4">
        <f t="shared" ca="1" si="5"/>
        <v>91.286356854616898</v>
      </c>
      <c r="D104" s="5">
        <f t="shared" ca="1" si="6"/>
        <v>87.898456897323726</v>
      </c>
      <c r="E104" s="5">
        <f t="shared" ca="1" si="7"/>
        <v>87.47616074456127</v>
      </c>
      <c r="F104" s="2">
        <f t="shared" ca="1" si="8"/>
        <v>83.070293820201101</v>
      </c>
      <c r="G104" s="2">
        <f t="shared" ca="1" si="9"/>
        <v>87.02524814027268</v>
      </c>
    </row>
    <row r="105" spans="1:7" ht="18.75" x14ac:dyDescent="0.25">
      <c r="A105" s="3">
        <v>39661</v>
      </c>
      <c r="B105" s="2">
        <v>89.7</v>
      </c>
      <c r="C105" s="4">
        <f t="shared" ca="1" si="5"/>
        <v>89.84539055342141</v>
      </c>
      <c r="D105" s="5">
        <f t="shared" ca="1" si="6"/>
        <v>81.551987345941527</v>
      </c>
      <c r="E105" s="5">
        <f t="shared" ca="1" si="7"/>
        <v>89.661412745022361</v>
      </c>
      <c r="F105" s="2">
        <f t="shared" ca="1" si="8"/>
        <v>94.013381792413739</v>
      </c>
      <c r="G105" s="2">
        <f t="shared" ca="1" si="9"/>
        <v>99.993085927629494</v>
      </c>
    </row>
    <row r="106" spans="1:7" ht="18.75" x14ac:dyDescent="0.25">
      <c r="A106" s="3">
        <v>39692</v>
      </c>
      <c r="B106" s="2">
        <v>85.2</v>
      </c>
      <c r="C106" s="4">
        <f t="shared" ca="1" si="5"/>
        <v>85.385979345146609</v>
      </c>
      <c r="D106" s="5">
        <f t="shared" ca="1" si="6"/>
        <v>85.882586695523358</v>
      </c>
      <c r="E106" s="5">
        <f t="shared" ca="1" si="7"/>
        <v>81.151875784239394</v>
      </c>
      <c r="F106" s="2">
        <f t="shared" ca="1" si="8"/>
        <v>90.031280549997831</v>
      </c>
      <c r="G106" s="2">
        <f t="shared" ca="1" si="9"/>
        <v>66.897536589487743</v>
      </c>
    </row>
    <row r="107" spans="1:7" ht="18.75" x14ac:dyDescent="0.25">
      <c r="A107" s="3">
        <v>39722</v>
      </c>
      <c r="B107" s="2">
        <v>88.3</v>
      </c>
      <c r="C107" s="4">
        <f t="shared" ca="1" si="5"/>
        <v>89.642626325425923</v>
      </c>
      <c r="D107" s="5">
        <f t="shared" ca="1" si="6"/>
        <v>88.44943855283509</v>
      </c>
      <c r="E107" s="5">
        <f t="shared" ca="1" si="7"/>
        <v>95.689174148317989</v>
      </c>
      <c r="F107" s="2">
        <f t="shared" ca="1" si="8"/>
        <v>104.61308822709971</v>
      </c>
      <c r="G107" s="2">
        <f t="shared" ca="1" si="9"/>
        <v>90.625352924024</v>
      </c>
    </row>
    <row r="108" spans="1:7" ht="18.75" x14ac:dyDescent="0.25">
      <c r="A108" s="3">
        <v>39753</v>
      </c>
      <c r="B108" s="2">
        <v>86.8</v>
      </c>
      <c r="C108" s="4">
        <f t="shared" ca="1" si="5"/>
        <v>86.185676465565251</v>
      </c>
      <c r="D108" s="5">
        <f t="shared" ca="1" si="6"/>
        <v>86.868391256530643</v>
      </c>
      <c r="E108" s="5">
        <f t="shared" ca="1" si="7"/>
        <v>89.869696216654845</v>
      </c>
      <c r="F108" s="2">
        <f t="shared" ca="1" si="8"/>
        <v>92.390771918738551</v>
      </c>
      <c r="G108" s="2">
        <f t="shared" ca="1" si="9"/>
        <v>81.526625003884106</v>
      </c>
    </row>
    <row r="109" spans="1:7" ht="18.75" x14ac:dyDescent="0.25">
      <c r="A109" s="3">
        <v>39783</v>
      </c>
      <c r="B109" s="2">
        <v>107.2</v>
      </c>
      <c r="C109" s="4">
        <f t="shared" ca="1" si="5"/>
        <v>105.58664288775547</v>
      </c>
      <c r="D109" s="5">
        <f t="shared" ca="1" si="6"/>
        <v>111.23264968296971</v>
      </c>
      <c r="E109" s="5">
        <f t="shared" ca="1" si="7"/>
        <v>108.72867857803531</v>
      </c>
      <c r="F109" s="2">
        <f t="shared" ca="1" si="8"/>
        <v>78.237353276474224</v>
      </c>
      <c r="G109" s="2">
        <f t="shared" ca="1" si="9"/>
        <v>83.840136844811795</v>
      </c>
    </row>
    <row r="110" spans="1:7" ht="18.75" x14ac:dyDescent="0.25">
      <c r="A110" s="3">
        <v>39814</v>
      </c>
      <c r="B110" s="2">
        <v>82.5</v>
      </c>
      <c r="C110" s="4">
        <f t="shared" ca="1" si="5"/>
        <v>82.088807477021746</v>
      </c>
      <c r="D110" s="5">
        <f t="shared" ca="1" si="6"/>
        <v>76.694003018711527</v>
      </c>
      <c r="E110" s="5">
        <f t="shared" ca="1" si="7"/>
        <v>80.033469417728568</v>
      </c>
      <c r="F110" s="2">
        <f t="shared" ca="1" si="8"/>
        <v>82.895701189272103</v>
      </c>
      <c r="G110" s="2">
        <f t="shared" ca="1" si="9"/>
        <v>92.792276902160268</v>
      </c>
    </row>
    <row r="111" spans="1:7" ht="18.75" x14ac:dyDescent="0.25">
      <c r="A111" s="3">
        <v>39845</v>
      </c>
      <c r="B111" s="2">
        <v>78.8</v>
      </c>
      <c r="C111" s="4">
        <f t="shared" ca="1" si="5"/>
        <v>79.301856602112736</v>
      </c>
      <c r="D111" s="5">
        <f t="shared" ca="1" si="6"/>
        <v>80.629260944902427</v>
      </c>
      <c r="E111" s="5">
        <f t="shared" ca="1" si="7"/>
        <v>70.734801864634989</v>
      </c>
      <c r="F111" s="2">
        <f t="shared" ca="1" si="8"/>
        <v>72.707058250412501</v>
      </c>
      <c r="G111" s="2">
        <f t="shared" ca="1" si="9"/>
        <v>71.29709128731308</v>
      </c>
    </row>
    <row r="112" spans="1:7" ht="18.75" x14ac:dyDescent="0.25">
      <c r="A112" s="3">
        <v>39873</v>
      </c>
      <c r="B112" s="2">
        <v>84.8</v>
      </c>
      <c r="C112" s="4">
        <f t="shared" ca="1" si="5"/>
        <v>84.186143020682067</v>
      </c>
      <c r="D112" s="5">
        <f t="shared" ca="1" si="6"/>
        <v>89.459964466393032</v>
      </c>
      <c r="E112" s="5">
        <f t="shared" ca="1" si="7"/>
        <v>85.586431020692842</v>
      </c>
      <c r="F112" s="2">
        <f t="shared" ca="1" si="8"/>
        <v>80.235765019593018</v>
      </c>
      <c r="G112" s="2">
        <f t="shared" ca="1" si="9"/>
        <v>78.266487047546946</v>
      </c>
    </row>
    <row r="113" spans="1:7" ht="18.75" x14ac:dyDescent="0.25">
      <c r="A113" s="3">
        <v>39904</v>
      </c>
      <c r="B113" s="2">
        <v>88.9</v>
      </c>
      <c r="C113" s="4">
        <f t="shared" ca="1" si="5"/>
        <v>87.128055516354763</v>
      </c>
      <c r="D113" s="5">
        <f t="shared" ca="1" si="6"/>
        <v>83.195179819733767</v>
      </c>
      <c r="E113" s="5">
        <f t="shared" ca="1" si="7"/>
        <v>94.605417429880248</v>
      </c>
      <c r="F113" s="2">
        <f t="shared" ca="1" si="8"/>
        <v>85.761950262689297</v>
      </c>
      <c r="G113" s="2">
        <f t="shared" ca="1" si="9"/>
        <v>65.464175524861943</v>
      </c>
    </row>
    <row r="114" spans="1:7" ht="18.75" x14ac:dyDescent="0.25">
      <c r="A114" s="3">
        <v>39934</v>
      </c>
      <c r="B114" s="2">
        <v>90.6</v>
      </c>
      <c r="C114" s="4">
        <f t="shared" ca="1" si="5"/>
        <v>90.434620773355689</v>
      </c>
      <c r="D114" s="5">
        <f t="shared" ca="1" si="6"/>
        <v>92.886100763038314</v>
      </c>
      <c r="E114" s="5">
        <f t="shared" ca="1" si="7"/>
        <v>91.968383268515666</v>
      </c>
      <c r="F114" s="2">
        <f t="shared" ca="1" si="8"/>
        <v>105.43387041249382</v>
      </c>
      <c r="G114" s="2">
        <f t="shared" ca="1" si="9"/>
        <v>94.479810929783113</v>
      </c>
    </row>
    <row r="115" spans="1:7" ht="18.75" x14ac:dyDescent="0.25">
      <c r="A115" s="3">
        <v>39965</v>
      </c>
      <c r="B115" s="2">
        <v>91.4</v>
      </c>
      <c r="C115" s="4">
        <f t="shared" ca="1" si="5"/>
        <v>91.585101045726688</v>
      </c>
      <c r="D115" s="5">
        <f t="shared" ca="1" si="6"/>
        <v>89.781560842957191</v>
      </c>
      <c r="E115" s="5">
        <f t="shared" ca="1" si="7"/>
        <v>93.093369458184227</v>
      </c>
      <c r="F115" s="2">
        <f t="shared" ca="1" si="8"/>
        <v>92.022985511316406</v>
      </c>
      <c r="G115" s="2">
        <f t="shared" ca="1" si="9"/>
        <v>87.378882742127843</v>
      </c>
    </row>
    <row r="116" spans="1:7" ht="18.75" x14ac:dyDescent="0.25">
      <c r="A116" s="3">
        <v>39995</v>
      </c>
      <c r="B116" s="2">
        <v>92.9</v>
      </c>
      <c r="C116" s="4">
        <f t="shared" ca="1" si="5"/>
        <v>93.279968809939717</v>
      </c>
      <c r="D116" s="5">
        <f t="shared" ca="1" si="6"/>
        <v>95.295393929975205</v>
      </c>
      <c r="E116" s="5">
        <f t="shared" ca="1" si="7"/>
        <v>94.692781914186995</v>
      </c>
      <c r="F116" s="2">
        <f t="shared" ca="1" si="8"/>
        <v>92.670082771045159</v>
      </c>
      <c r="G116" s="2">
        <f t="shared" ca="1" si="9"/>
        <v>106.85359543621475</v>
      </c>
    </row>
    <row r="117" spans="1:7" ht="18.75" x14ac:dyDescent="0.25">
      <c r="A117" s="3">
        <v>40026</v>
      </c>
      <c r="B117" s="2">
        <v>90.7</v>
      </c>
      <c r="C117" s="4">
        <f t="shared" ca="1" si="5"/>
        <v>90.080041898975722</v>
      </c>
      <c r="D117" s="5">
        <f t="shared" ca="1" si="6"/>
        <v>90.966693135706862</v>
      </c>
      <c r="E117" s="5">
        <f t="shared" ca="1" si="7"/>
        <v>85.741072851169562</v>
      </c>
      <c r="F117" s="2">
        <f t="shared" ca="1" si="8"/>
        <v>88.687414551709011</v>
      </c>
      <c r="G117" s="2">
        <f t="shared" ca="1" si="9"/>
        <v>106.49662110644321</v>
      </c>
    </row>
    <row r="118" spans="1:7" ht="18.75" x14ac:dyDescent="0.25">
      <c r="A118" s="3">
        <v>40057</v>
      </c>
      <c r="B118" s="2">
        <v>86.8</v>
      </c>
      <c r="C118" s="4">
        <f t="shared" ca="1" si="5"/>
        <v>88.351201416522215</v>
      </c>
      <c r="D118" s="5">
        <f t="shared" ca="1" si="6"/>
        <v>90.070013840005828</v>
      </c>
      <c r="E118" s="5">
        <f t="shared" ca="1" si="7"/>
        <v>91.747646610020979</v>
      </c>
      <c r="F118" s="2">
        <f t="shared" ca="1" si="8"/>
        <v>85.751378916398806</v>
      </c>
      <c r="G118" s="2">
        <f t="shared" ca="1" si="9"/>
        <v>97.918978585850255</v>
      </c>
    </row>
    <row r="119" spans="1:7" ht="18.75" x14ac:dyDescent="0.25">
      <c r="A119" s="3">
        <v>40087</v>
      </c>
      <c r="B119" s="2">
        <v>93.5</v>
      </c>
      <c r="C119" s="4">
        <f t="shared" ca="1" si="5"/>
        <v>94.552364274073653</v>
      </c>
      <c r="D119" s="5">
        <f t="shared" ca="1" si="6"/>
        <v>92.135019611870234</v>
      </c>
      <c r="E119" s="5">
        <f t="shared" ca="1" si="7"/>
        <v>92.286279235704058</v>
      </c>
      <c r="F119" s="2">
        <f t="shared" ca="1" si="8"/>
        <v>93.195751491848782</v>
      </c>
      <c r="G119" s="2">
        <f t="shared" ca="1" si="9"/>
        <v>132.67050380018847</v>
      </c>
    </row>
    <row r="120" spans="1:7" ht="18.75" x14ac:dyDescent="0.25">
      <c r="A120" s="3">
        <v>40118</v>
      </c>
      <c r="B120" s="2">
        <v>87.3</v>
      </c>
      <c r="C120" s="4">
        <f t="shared" ca="1" si="5"/>
        <v>87.343680447375618</v>
      </c>
      <c r="D120" s="5">
        <f t="shared" ca="1" si="6"/>
        <v>89.471961703044727</v>
      </c>
      <c r="E120" s="5">
        <f t="shared" ca="1" si="7"/>
        <v>88.150394398019188</v>
      </c>
      <c r="F120" s="2">
        <f t="shared" ca="1" si="8"/>
        <v>94.511209544994401</v>
      </c>
      <c r="G120" s="2">
        <f t="shared" ca="1" si="9"/>
        <v>93.25075472415422</v>
      </c>
    </row>
    <row r="121" spans="1:7" ht="18.75" x14ac:dyDescent="0.25">
      <c r="A121" s="3">
        <v>40148</v>
      </c>
      <c r="B121" s="2">
        <v>110.7</v>
      </c>
      <c r="C121" s="4">
        <f t="shared" ca="1" si="5"/>
        <v>108.96819636513852</v>
      </c>
      <c r="D121" s="5">
        <f t="shared" ca="1" si="6"/>
        <v>114.31455988091128</v>
      </c>
      <c r="E121" s="5">
        <f t="shared" ca="1" si="7"/>
        <v>104.10428675225138</v>
      </c>
      <c r="F121" s="2">
        <f t="shared" ca="1" si="8"/>
        <v>108.22166232857818</v>
      </c>
      <c r="G121" s="2">
        <f t="shared" ca="1" si="9"/>
        <v>108.24134660293377</v>
      </c>
    </row>
    <row r="122" spans="1:7" ht="18.75" x14ac:dyDescent="0.25">
      <c r="A122" s="3">
        <v>40179</v>
      </c>
      <c r="B122" s="2">
        <v>82.9</v>
      </c>
      <c r="C122" s="4">
        <f t="shared" ca="1" si="5"/>
        <v>83.38682479662225</v>
      </c>
      <c r="D122" s="5">
        <f t="shared" ca="1" si="6"/>
        <v>84.958316842985326</v>
      </c>
      <c r="E122" s="5">
        <f t="shared" ca="1" si="7"/>
        <v>68.621703511784801</v>
      </c>
      <c r="F122" s="2">
        <f t="shared" ca="1" si="8"/>
        <v>83.244099333483689</v>
      </c>
      <c r="G122" s="2">
        <f t="shared" ca="1" si="9"/>
        <v>82.958576751267756</v>
      </c>
    </row>
    <row r="123" spans="1:7" ht="18.75" x14ac:dyDescent="0.25">
      <c r="A123" s="3">
        <v>40210</v>
      </c>
      <c r="B123" s="2">
        <v>81.3</v>
      </c>
      <c r="C123" s="4">
        <f t="shared" ca="1" si="5"/>
        <v>81.874859392088126</v>
      </c>
      <c r="D123" s="5">
        <f t="shared" ca="1" si="6"/>
        <v>81.210682539987801</v>
      </c>
      <c r="E123" s="5">
        <f t="shared" ca="1" si="7"/>
        <v>83.497178893531995</v>
      </c>
      <c r="F123" s="2">
        <f t="shared" ca="1" si="8"/>
        <v>78.604065349339351</v>
      </c>
      <c r="G123" s="2">
        <f t="shared" ca="1" si="9"/>
        <v>93.918194653666177</v>
      </c>
    </row>
    <row r="124" spans="1:7" ht="18.75" x14ac:dyDescent="0.25">
      <c r="A124" s="3">
        <v>40238</v>
      </c>
      <c r="B124" s="2">
        <v>99.2</v>
      </c>
      <c r="C124" s="4">
        <f t="shared" ca="1" si="5"/>
        <v>98.67697964089183</v>
      </c>
      <c r="D124" s="5">
        <f t="shared" ca="1" si="6"/>
        <v>98.278288679674745</v>
      </c>
      <c r="E124" s="5">
        <f t="shared" ca="1" si="7"/>
        <v>96.148632377902658</v>
      </c>
      <c r="F124" s="2">
        <f t="shared" ca="1" si="8"/>
        <v>86.247351300883082</v>
      </c>
      <c r="G124" s="2">
        <f t="shared" ca="1" si="9"/>
        <v>89.719868901115561</v>
      </c>
    </row>
    <row r="125" spans="1:7" ht="18.75" x14ac:dyDescent="0.25">
      <c r="A125" s="3">
        <v>40269</v>
      </c>
      <c r="B125" s="2">
        <v>81.8</v>
      </c>
      <c r="C125" s="4">
        <f t="shared" ca="1" si="5"/>
        <v>81.180039471050605</v>
      </c>
      <c r="D125" s="5">
        <f t="shared" ca="1" si="6"/>
        <v>83.625638266115715</v>
      </c>
      <c r="E125" s="5">
        <f t="shared" ca="1" si="7"/>
        <v>82.22952584697299</v>
      </c>
      <c r="F125" s="2">
        <f t="shared" ca="1" si="8"/>
        <v>77.865392437057565</v>
      </c>
      <c r="G125" s="2">
        <f t="shared" ca="1" si="9"/>
        <v>66.352252037756131</v>
      </c>
    </row>
    <row r="126" spans="1:7" ht="18.75" x14ac:dyDescent="0.25">
      <c r="A126" s="3">
        <v>40299</v>
      </c>
      <c r="B126" s="2">
        <v>88.6</v>
      </c>
      <c r="C126" s="4">
        <f t="shared" ca="1" si="5"/>
        <v>89.699931142694396</v>
      </c>
      <c r="D126" s="5">
        <f t="shared" ca="1" si="6"/>
        <v>85.057892806240091</v>
      </c>
      <c r="E126" s="5">
        <f t="shared" ca="1" si="7"/>
        <v>89.05170722894286</v>
      </c>
      <c r="F126" s="2">
        <f t="shared" ca="1" si="8"/>
        <v>88.609769719178701</v>
      </c>
      <c r="G126" s="2">
        <f t="shared" ca="1" si="9"/>
        <v>76.529519190425177</v>
      </c>
    </row>
    <row r="127" spans="1:7" ht="18.75" x14ac:dyDescent="0.25">
      <c r="A127" s="3">
        <v>40330</v>
      </c>
      <c r="B127" s="2">
        <v>93.5</v>
      </c>
      <c r="C127" s="4">
        <f t="shared" ca="1" si="5"/>
        <v>92.303874209100655</v>
      </c>
      <c r="D127" s="5">
        <f t="shared" ca="1" si="6"/>
        <v>94.386246256215188</v>
      </c>
      <c r="E127" s="5">
        <f t="shared" ca="1" si="7"/>
        <v>91.886909785590817</v>
      </c>
      <c r="F127" s="2">
        <f t="shared" ca="1" si="8"/>
        <v>89.576087193341792</v>
      </c>
      <c r="G127" s="2">
        <f t="shared" ca="1" si="9"/>
        <v>70.124055233723155</v>
      </c>
    </row>
    <row r="128" spans="1:7" ht="18.75" x14ac:dyDescent="0.25">
      <c r="A128" s="3">
        <v>40360</v>
      </c>
      <c r="B128" s="2">
        <v>94.3</v>
      </c>
      <c r="C128" s="4">
        <f t="shared" ca="1" si="5"/>
        <v>93.647646039378458</v>
      </c>
      <c r="D128" s="5">
        <f t="shared" ca="1" si="6"/>
        <v>97.95852349295096</v>
      </c>
      <c r="E128" s="5">
        <f t="shared" ca="1" si="7"/>
        <v>78.723921072427331</v>
      </c>
      <c r="F128" s="2">
        <f t="shared" ca="1" si="8"/>
        <v>84.822501665929991</v>
      </c>
      <c r="G128" s="2">
        <f t="shared" ca="1" si="9"/>
        <v>83.736704637912112</v>
      </c>
    </row>
    <row r="129" spans="1:7" ht="18.75" x14ac:dyDescent="0.25">
      <c r="A129" s="3">
        <v>40391</v>
      </c>
      <c r="B129" s="2">
        <v>90.5</v>
      </c>
      <c r="C129" s="4">
        <f t="shared" ca="1" si="5"/>
        <v>89.337878773343846</v>
      </c>
      <c r="D129" s="5">
        <f t="shared" ca="1" si="6"/>
        <v>91.62668039873256</v>
      </c>
      <c r="E129" s="5">
        <f t="shared" ca="1" si="7"/>
        <v>91.177043203645169</v>
      </c>
      <c r="F129" s="2">
        <f t="shared" ca="1" si="8"/>
        <v>85.990306998230608</v>
      </c>
      <c r="G129" s="2">
        <f t="shared" ca="1" si="9"/>
        <v>83.744754576985855</v>
      </c>
    </row>
    <row r="130" spans="1:7" ht="18.75" x14ac:dyDescent="0.25">
      <c r="A130" s="3">
        <v>40422</v>
      </c>
      <c r="B130" s="2">
        <v>87.9</v>
      </c>
      <c r="C130" s="4">
        <f t="shared" ca="1" si="5"/>
        <v>89.441379389837067</v>
      </c>
      <c r="D130" s="5">
        <f t="shared" ca="1" si="6"/>
        <v>88.13495250576014</v>
      </c>
      <c r="E130" s="5">
        <f t="shared" ca="1" si="7"/>
        <v>94.169074047994201</v>
      </c>
      <c r="F130" s="2">
        <f t="shared" ca="1" si="8"/>
        <v>80.572043710183024</v>
      </c>
      <c r="G130" s="2">
        <f t="shared" ca="1" si="9"/>
        <v>67.971750574874775</v>
      </c>
    </row>
    <row r="131" spans="1:7" ht="18.75" x14ac:dyDescent="0.25">
      <c r="A131" s="3">
        <v>40452</v>
      </c>
      <c r="B131" s="2">
        <v>91.6</v>
      </c>
      <c r="C131" s="4">
        <f t="shared" ref="C131:C194" ca="1" si="10">B131+NORMINV(RAND(),0,1)</f>
        <v>90.409254649185272</v>
      </c>
      <c r="D131" s="5">
        <f t="shared" ref="D131:D194" ca="1" si="11">B131+NORMINV(RAND(),0,3)</f>
        <v>89.34854509703257</v>
      </c>
      <c r="E131" s="5">
        <f t="shared" ref="E131:E194" ca="1" si="12">B131+NORMINV(RAND(),0,5)</f>
        <v>93.92230723389919</v>
      </c>
      <c r="F131" s="2">
        <f t="shared" ref="F131:F194" ca="1" si="13">B131+NORMINV(RAND(),0,10)</f>
        <v>106.36970899797568</v>
      </c>
      <c r="G131" s="2">
        <f t="shared" ref="G131:G194" ca="1" si="14">B131+NORMINV(RAND(),0,15)</f>
        <v>114.65776162146382</v>
      </c>
    </row>
    <row r="132" spans="1:7" ht="18.75" x14ac:dyDescent="0.25">
      <c r="A132" s="3">
        <v>40483</v>
      </c>
      <c r="B132" s="2">
        <v>93.2</v>
      </c>
      <c r="C132" s="4">
        <f t="shared" ca="1" si="10"/>
        <v>92.563245537134208</v>
      </c>
      <c r="D132" s="5">
        <f t="shared" ca="1" si="11"/>
        <v>89.688793416460982</v>
      </c>
      <c r="E132" s="5">
        <f t="shared" ca="1" si="12"/>
        <v>100.33586057337142</v>
      </c>
      <c r="F132" s="2">
        <f t="shared" ca="1" si="13"/>
        <v>109.21333279141166</v>
      </c>
      <c r="G132" s="2">
        <f t="shared" ca="1" si="14"/>
        <v>77.598758355355926</v>
      </c>
    </row>
    <row r="133" spans="1:7" ht="18.75" x14ac:dyDescent="0.25">
      <c r="A133" s="3">
        <v>40513</v>
      </c>
      <c r="B133" s="2">
        <v>111.6</v>
      </c>
      <c r="C133" s="4">
        <f t="shared" ca="1" si="10"/>
        <v>109.73258037316263</v>
      </c>
      <c r="D133" s="5">
        <f t="shared" ca="1" si="11"/>
        <v>113.79820325369553</v>
      </c>
      <c r="E133" s="5">
        <f t="shared" ca="1" si="12"/>
        <v>109.27467049178946</v>
      </c>
      <c r="F133" s="2">
        <f t="shared" ca="1" si="13"/>
        <v>107.97603640993185</v>
      </c>
      <c r="G133" s="2">
        <f t="shared" ca="1" si="14"/>
        <v>134.84935954578316</v>
      </c>
    </row>
    <row r="134" spans="1:7" ht="18.75" x14ac:dyDescent="0.25">
      <c r="A134" s="3">
        <v>40544</v>
      </c>
      <c r="B134" s="2">
        <v>82.4</v>
      </c>
      <c r="C134" s="4">
        <f t="shared" ca="1" si="10"/>
        <v>81.60728414130773</v>
      </c>
      <c r="D134" s="5">
        <f t="shared" ca="1" si="11"/>
        <v>85.8684602652541</v>
      </c>
      <c r="E134" s="5">
        <f t="shared" ca="1" si="12"/>
        <v>77.928825785762129</v>
      </c>
      <c r="F134" s="2">
        <f t="shared" ca="1" si="13"/>
        <v>90.155908459843587</v>
      </c>
      <c r="G134" s="2">
        <f t="shared" ca="1" si="14"/>
        <v>92.607481488291299</v>
      </c>
    </row>
    <row r="135" spans="1:7" ht="18.75" x14ac:dyDescent="0.25">
      <c r="A135" s="3">
        <v>40575</v>
      </c>
      <c r="B135" s="2">
        <v>82.2</v>
      </c>
      <c r="C135" s="4">
        <f t="shared" ca="1" si="10"/>
        <v>82.926090304729371</v>
      </c>
      <c r="D135" s="5">
        <f t="shared" ca="1" si="11"/>
        <v>80.959790973382695</v>
      </c>
      <c r="E135" s="5">
        <f t="shared" ca="1" si="12"/>
        <v>81.777930742111778</v>
      </c>
      <c r="F135" s="2">
        <f t="shared" ca="1" si="13"/>
        <v>83.142768781474288</v>
      </c>
      <c r="G135" s="2">
        <f t="shared" ca="1" si="14"/>
        <v>107.47860047195489</v>
      </c>
    </row>
    <row r="136" spans="1:7" ht="18.75" x14ac:dyDescent="0.25">
      <c r="A136" s="3">
        <v>40603</v>
      </c>
      <c r="B136" s="2">
        <v>90.8</v>
      </c>
      <c r="C136" s="4">
        <f t="shared" ca="1" si="10"/>
        <v>91.582146799366512</v>
      </c>
      <c r="D136" s="5">
        <f t="shared" ca="1" si="11"/>
        <v>87.600680585979688</v>
      </c>
      <c r="E136" s="5">
        <f t="shared" ca="1" si="12"/>
        <v>88.337005558370535</v>
      </c>
      <c r="F136" s="2">
        <f t="shared" ca="1" si="13"/>
        <v>80.786321403989334</v>
      </c>
      <c r="G136" s="2">
        <f t="shared" ca="1" si="14"/>
        <v>84.197879997655392</v>
      </c>
    </row>
    <row r="137" spans="1:7" ht="18.75" x14ac:dyDescent="0.25">
      <c r="A137" s="3">
        <v>40634</v>
      </c>
      <c r="B137" s="2">
        <v>94</v>
      </c>
      <c r="C137" s="4">
        <f t="shared" ca="1" si="10"/>
        <v>94.961413333658669</v>
      </c>
      <c r="D137" s="5">
        <f t="shared" ca="1" si="11"/>
        <v>103.22333493322708</v>
      </c>
      <c r="E137" s="5">
        <f t="shared" ca="1" si="12"/>
        <v>93.126756225424117</v>
      </c>
      <c r="F137" s="2">
        <f t="shared" ca="1" si="13"/>
        <v>101.72312431349042</v>
      </c>
      <c r="G137" s="2">
        <f t="shared" ca="1" si="14"/>
        <v>94.82975505220692</v>
      </c>
    </row>
    <row r="138" spans="1:7" ht="18.75" x14ac:dyDescent="0.25">
      <c r="A138" s="3">
        <v>40664</v>
      </c>
      <c r="B138" s="2">
        <v>92.9</v>
      </c>
      <c r="C138" s="4">
        <f t="shared" ca="1" si="10"/>
        <v>93.499261999494564</v>
      </c>
      <c r="D138" s="5">
        <f t="shared" ca="1" si="11"/>
        <v>93.573672174522542</v>
      </c>
      <c r="E138" s="5">
        <f t="shared" ca="1" si="12"/>
        <v>99.321993289970308</v>
      </c>
      <c r="F138" s="2">
        <f t="shared" ca="1" si="13"/>
        <v>86.284086733351842</v>
      </c>
      <c r="G138" s="2">
        <f t="shared" ca="1" si="14"/>
        <v>117.80736174185101</v>
      </c>
    </row>
    <row r="139" spans="1:7" ht="18.75" x14ac:dyDescent="0.25">
      <c r="A139" s="3">
        <v>40695</v>
      </c>
      <c r="B139" s="2">
        <v>94.8</v>
      </c>
      <c r="C139" s="4">
        <f t="shared" ca="1" si="10"/>
        <v>96.012982878012679</v>
      </c>
      <c r="D139" s="5">
        <f t="shared" ca="1" si="11"/>
        <v>93.47255327958058</v>
      </c>
      <c r="E139" s="5">
        <f t="shared" ca="1" si="12"/>
        <v>93.653515812708335</v>
      </c>
      <c r="F139" s="2">
        <f t="shared" ca="1" si="13"/>
        <v>86.422205030490176</v>
      </c>
      <c r="G139" s="2">
        <f t="shared" ca="1" si="14"/>
        <v>73.990762512897831</v>
      </c>
    </row>
    <row r="140" spans="1:7" ht="18.75" x14ac:dyDescent="0.25">
      <c r="A140" s="3">
        <v>40725</v>
      </c>
      <c r="B140" s="2">
        <v>93.3</v>
      </c>
      <c r="C140" s="4">
        <f t="shared" ca="1" si="10"/>
        <v>93.99027697175373</v>
      </c>
      <c r="D140" s="5">
        <f t="shared" ca="1" si="11"/>
        <v>88.929359359831423</v>
      </c>
      <c r="E140" s="5">
        <f t="shared" ca="1" si="12"/>
        <v>93.38212442366995</v>
      </c>
      <c r="F140" s="2">
        <f t="shared" ca="1" si="13"/>
        <v>96.874605279024223</v>
      </c>
      <c r="G140" s="2">
        <f t="shared" ca="1" si="14"/>
        <v>77.406060822383623</v>
      </c>
    </row>
    <row r="141" spans="1:7" ht="18.75" x14ac:dyDescent="0.25">
      <c r="A141" s="3">
        <v>40756</v>
      </c>
      <c r="B141" s="2">
        <v>96.8</v>
      </c>
      <c r="C141" s="4">
        <f t="shared" ca="1" si="10"/>
        <v>97.484549804740027</v>
      </c>
      <c r="D141" s="5">
        <f t="shared" ca="1" si="11"/>
        <v>96.62540434195202</v>
      </c>
      <c r="E141" s="5">
        <f t="shared" ca="1" si="12"/>
        <v>93.238504713183474</v>
      </c>
      <c r="F141" s="2">
        <f t="shared" ca="1" si="13"/>
        <v>99.816272596593265</v>
      </c>
      <c r="G141" s="2">
        <f t="shared" ca="1" si="14"/>
        <v>105.68810341711638</v>
      </c>
    </row>
    <row r="142" spans="1:7" ht="18.75" x14ac:dyDescent="0.25">
      <c r="A142" s="3">
        <v>40787</v>
      </c>
      <c r="B142" s="2">
        <v>92.3</v>
      </c>
      <c r="C142" s="4">
        <f t="shared" ca="1" si="10"/>
        <v>93.355325934456431</v>
      </c>
      <c r="D142" s="5">
        <f t="shared" ca="1" si="11"/>
        <v>87.701420589295935</v>
      </c>
      <c r="E142" s="5">
        <f t="shared" ca="1" si="12"/>
        <v>87.947773204088307</v>
      </c>
      <c r="F142" s="2">
        <f t="shared" ca="1" si="13"/>
        <v>89.75107034670674</v>
      </c>
      <c r="G142" s="2">
        <f t="shared" ca="1" si="14"/>
        <v>98.521318411460925</v>
      </c>
    </row>
    <row r="143" spans="1:7" ht="18.75" x14ac:dyDescent="0.25">
      <c r="A143" s="3">
        <v>40817</v>
      </c>
      <c r="B143" s="2">
        <v>92.5</v>
      </c>
      <c r="C143" s="4">
        <f t="shared" ca="1" si="10"/>
        <v>91.19492118444856</v>
      </c>
      <c r="D143" s="5">
        <f t="shared" ca="1" si="11"/>
        <v>94.693418125488591</v>
      </c>
      <c r="E143" s="5">
        <f t="shared" ca="1" si="12"/>
        <v>91.024406162973108</v>
      </c>
      <c r="F143" s="2">
        <f t="shared" ca="1" si="13"/>
        <v>77.750392761639375</v>
      </c>
      <c r="G143" s="2">
        <f t="shared" ca="1" si="14"/>
        <v>121.34637937038427</v>
      </c>
    </row>
    <row r="144" spans="1:7" ht="18.75" x14ac:dyDescent="0.25">
      <c r="A144" s="3">
        <v>40848</v>
      </c>
      <c r="B144" s="2">
        <v>95.8</v>
      </c>
      <c r="C144" s="4">
        <f t="shared" ca="1" si="10"/>
        <v>97.314279637463486</v>
      </c>
      <c r="D144" s="5">
        <f t="shared" ca="1" si="11"/>
        <v>99.04654114486307</v>
      </c>
      <c r="E144" s="5">
        <f t="shared" ca="1" si="12"/>
        <v>106.83604582379681</v>
      </c>
      <c r="F144" s="2">
        <f t="shared" ca="1" si="13"/>
        <v>83.753005510346526</v>
      </c>
      <c r="G144" s="2">
        <f t="shared" ca="1" si="14"/>
        <v>98.012937832240524</v>
      </c>
    </row>
    <row r="145" spans="1:7" ht="18.75" x14ac:dyDescent="0.25">
      <c r="A145" s="3">
        <v>40878</v>
      </c>
      <c r="B145" s="2">
        <v>113.9</v>
      </c>
      <c r="C145" s="4">
        <f t="shared" ca="1" si="10"/>
        <v>113.94204502177034</v>
      </c>
      <c r="D145" s="5">
        <f t="shared" ca="1" si="11"/>
        <v>107.7485222048562</v>
      </c>
      <c r="E145" s="5">
        <f t="shared" ca="1" si="12"/>
        <v>117.5788413519429</v>
      </c>
      <c r="F145" s="2">
        <f t="shared" ca="1" si="13"/>
        <v>108.1845304886143</v>
      </c>
      <c r="G145" s="2">
        <f t="shared" ca="1" si="14"/>
        <v>109.36352793865203</v>
      </c>
    </row>
    <row r="146" spans="1:7" ht="18.75" x14ac:dyDescent="0.25">
      <c r="A146" s="3">
        <v>40909</v>
      </c>
      <c r="B146" s="2">
        <v>86.7</v>
      </c>
      <c r="C146" s="4">
        <f t="shared" ca="1" si="10"/>
        <v>85.637557604915699</v>
      </c>
      <c r="D146" s="5">
        <f t="shared" ca="1" si="11"/>
        <v>89.527418481675696</v>
      </c>
      <c r="E146" s="5">
        <f t="shared" ca="1" si="12"/>
        <v>96.305152009188816</v>
      </c>
      <c r="F146" s="2">
        <f t="shared" ca="1" si="13"/>
        <v>81.771152182964897</v>
      </c>
      <c r="G146" s="2">
        <f t="shared" ca="1" si="14"/>
        <v>85.965423055647378</v>
      </c>
    </row>
    <row r="147" spans="1:7" ht="18.75" x14ac:dyDescent="0.25">
      <c r="A147" s="3">
        <v>40940</v>
      </c>
      <c r="B147" s="2">
        <v>88.1</v>
      </c>
      <c r="C147" s="4">
        <f t="shared" ca="1" si="10"/>
        <v>88.543709821468667</v>
      </c>
      <c r="D147" s="5">
        <f t="shared" ca="1" si="11"/>
        <v>86.452092007941346</v>
      </c>
      <c r="E147" s="5">
        <f t="shared" ca="1" si="12"/>
        <v>86.626996035511439</v>
      </c>
      <c r="F147" s="2">
        <f t="shared" ca="1" si="13"/>
        <v>80.324044350522286</v>
      </c>
      <c r="G147" s="2">
        <f t="shared" ca="1" si="14"/>
        <v>78.877133130556757</v>
      </c>
    </row>
    <row r="148" spans="1:7" ht="18.75" x14ac:dyDescent="0.25">
      <c r="A148" s="3">
        <v>40969</v>
      </c>
      <c r="B148" s="2">
        <v>99.2</v>
      </c>
      <c r="C148" s="4">
        <f t="shared" ca="1" si="10"/>
        <v>100.02289321067553</v>
      </c>
      <c r="D148" s="5">
        <f t="shared" ca="1" si="11"/>
        <v>101.02048868860074</v>
      </c>
      <c r="E148" s="5">
        <f t="shared" ca="1" si="12"/>
        <v>98.42211931578359</v>
      </c>
      <c r="F148" s="2">
        <f t="shared" ca="1" si="13"/>
        <v>86.2986020340675</v>
      </c>
      <c r="G148" s="2">
        <f t="shared" ca="1" si="14"/>
        <v>105.78711594895098</v>
      </c>
    </row>
    <row r="149" spans="1:7" ht="18.75" x14ac:dyDescent="0.25">
      <c r="A149" s="3">
        <v>41000</v>
      </c>
      <c r="B149" s="2">
        <v>88.7</v>
      </c>
      <c r="C149" s="4">
        <f t="shared" ca="1" si="10"/>
        <v>89.435651268404754</v>
      </c>
      <c r="D149" s="5">
        <f t="shared" ca="1" si="11"/>
        <v>88.46797898992601</v>
      </c>
      <c r="E149" s="5">
        <f t="shared" ca="1" si="12"/>
        <v>86.161733674955059</v>
      </c>
      <c r="F149" s="2">
        <f t="shared" ca="1" si="13"/>
        <v>80.777012337072591</v>
      </c>
      <c r="G149" s="2">
        <f t="shared" ca="1" si="14"/>
        <v>85.737809357164622</v>
      </c>
    </row>
    <row r="150" spans="1:7" ht="18.75" x14ac:dyDescent="0.25">
      <c r="A150" s="3">
        <v>41030</v>
      </c>
      <c r="B150" s="2">
        <v>99.3</v>
      </c>
      <c r="C150" s="4">
        <f t="shared" ca="1" si="10"/>
        <v>99.322970682498877</v>
      </c>
      <c r="D150" s="5">
        <f t="shared" ca="1" si="11"/>
        <v>96.103545181189375</v>
      </c>
      <c r="E150" s="5">
        <f t="shared" ca="1" si="12"/>
        <v>98.030904190733494</v>
      </c>
      <c r="F150" s="2">
        <f t="shared" ca="1" si="13"/>
        <v>103.84100212536806</v>
      </c>
      <c r="G150" s="2">
        <f t="shared" ca="1" si="14"/>
        <v>93.470781746523514</v>
      </c>
    </row>
    <row r="151" spans="1:7" ht="18.75" x14ac:dyDescent="0.25">
      <c r="A151" s="3">
        <v>41061</v>
      </c>
      <c r="B151" s="2">
        <v>101.7</v>
      </c>
      <c r="C151" s="4">
        <f t="shared" ca="1" si="10"/>
        <v>103.08484997329121</v>
      </c>
      <c r="D151" s="5">
        <f t="shared" ca="1" si="11"/>
        <v>103.46177145878873</v>
      </c>
      <c r="E151" s="5">
        <f t="shared" ca="1" si="12"/>
        <v>101.94192081623122</v>
      </c>
      <c r="F151" s="2">
        <f t="shared" ca="1" si="13"/>
        <v>95.823833813279563</v>
      </c>
      <c r="G151" s="2">
        <f t="shared" ca="1" si="14"/>
        <v>113.51539877647916</v>
      </c>
    </row>
    <row r="152" spans="1:7" ht="18.75" x14ac:dyDescent="0.25">
      <c r="A152" s="3">
        <v>41091</v>
      </c>
      <c r="B152" s="2">
        <v>93.3</v>
      </c>
      <c r="C152" s="4">
        <f t="shared" ca="1" si="10"/>
        <v>93.394370173347767</v>
      </c>
      <c r="D152" s="5">
        <f t="shared" ca="1" si="11"/>
        <v>92.554793901908823</v>
      </c>
      <c r="E152" s="5">
        <f t="shared" ca="1" si="12"/>
        <v>86.179891590500034</v>
      </c>
      <c r="F152" s="2">
        <f t="shared" ca="1" si="13"/>
        <v>101.89463825922421</v>
      </c>
      <c r="G152" s="2">
        <f t="shared" ca="1" si="14"/>
        <v>110.6266546389119</v>
      </c>
    </row>
    <row r="153" spans="1:7" ht="18.75" x14ac:dyDescent="0.25">
      <c r="A153" s="3">
        <v>41122</v>
      </c>
      <c r="B153" s="2">
        <v>100.3</v>
      </c>
      <c r="C153" s="4">
        <f t="shared" ca="1" si="10"/>
        <v>99.764038944391359</v>
      </c>
      <c r="D153" s="5">
        <f t="shared" ca="1" si="11"/>
        <v>103.45159172508971</v>
      </c>
      <c r="E153" s="5">
        <f t="shared" ca="1" si="12"/>
        <v>96.718029901265311</v>
      </c>
      <c r="F153" s="2">
        <f t="shared" ca="1" si="13"/>
        <v>99.984450763435234</v>
      </c>
      <c r="G153" s="2">
        <f t="shared" ca="1" si="14"/>
        <v>71.514532589449743</v>
      </c>
    </row>
    <row r="154" spans="1:7" ht="18.75" x14ac:dyDescent="0.25">
      <c r="A154" s="3">
        <v>41153</v>
      </c>
      <c r="B154" s="2">
        <v>91.7</v>
      </c>
      <c r="C154" s="4">
        <f t="shared" ca="1" si="10"/>
        <v>90.979249015110085</v>
      </c>
      <c r="D154" s="5">
        <f t="shared" ca="1" si="11"/>
        <v>89.917538374019145</v>
      </c>
      <c r="E154" s="5">
        <f t="shared" ca="1" si="12"/>
        <v>98.373512015318795</v>
      </c>
      <c r="F154" s="2">
        <f t="shared" ca="1" si="13"/>
        <v>95.235892962591578</v>
      </c>
      <c r="G154" s="2">
        <f t="shared" ca="1" si="14"/>
        <v>80.001631787757105</v>
      </c>
    </row>
    <row r="155" spans="1:7" ht="18.75" x14ac:dyDescent="0.25">
      <c r="A155" s="3">
        <v>41183</v>
      </c>
      <c r="B155" s="2">
        <v>95.9</v>
      </c>
      <c r="C155" s="4">
        <f t="shared" ca="1" si="10"/>
        <v>97.089771053471395</v>
      </c>
      <c r="D155" s="5">
        <f t="shared" ca="1" si="11"/>
        <v>94.150413508272138</v>
      </c>
      <c r="E155" s="5">
        <f t="shared" ca="1" si="12"/>
        <v>98.806953412313447</v>
      </c>
      <c r="F155" s="2">
        <f t="shared" ca="1" si="13"/>
        <v>93.115913207039156</v>
      </c>
      <c r="G155" s="2">
        <f t="shared" ca="1" si="14"/>
        <v>126.76409244891458</v>
      </c>
    </row>
    <row r="156" spans="1:7" ht="18.75" x14ac:dyDescent="0.25">
      <c r="A156" s="3">
        <v>41214</v>
      </c>
      <c r="B156" s="2">
        <v>99.3</v>
      </c>
      <c r="C156" s="4">
        <f t="shared" ca="1" si="10"/>
        <v>98.710665673233933</v>
      </c>
      <c r="D156" s="5">
        <f t="shared" ca="1" si="11"/>
        <v>96.568165838991249</v>
      </c>
      <c r="E156" s="5">
        <f t="shared" ca="1" si="12"/>
        <v>101.49155239894294</v>
      </c>
      <c r="F156" s="2">
        <f t="shared" ca="1" si="13"/>
        <v>112.15425818506411</v>
      </c>
      <c r="G156" s="2">
        <f t="shared" ca="1" si="14"/>
        <v>91.985836150436455</v>
      </c>
    </row>
    <row r="157" spans="1:7" ht="18.75" x14ac:dyDescent="0.25">
      <c r="A157" s="3">
        <v>41244</v>
      </c>
      <c r="B157" s="2">
        <v>115.8</v>
      </c>
      <c r="C157" s="4">
        <f t="shared" ca="1" si="10"/>
        <v>116.88049640491602</v>
      </c>
      <c r="D157" s="5">
        <f t="shared" ca="1" si="11"/>
        <v>116.82876014488623</v>
      </c>
      <c r="E157" s="5">
        <f t="shared" ca="1" si="12"/>
        <v>121.66136759914637</v>
      </c>
      <c r="F157" s="2">
        <f t="shared" ca="1" si="13"/>
        <v>114.07334623094208</v>
      </c>
      <c r="G157" s="2">
        <f t="shared" ca="1" si="14"/>
        <v>116.1792960295595</v>
      </c>
    </row>
    <row r="158" spans="1:7" ht="18.75" x14ac:dyDescent="0.25">
      <c r="A158" s="3">
        <v>41275</v>
      </c>
      <c r="B158" s="2">
        <v>89.7</v>
      </c>
      <c r="C158" s="4">
        <f t="shared" ca="1" si="10"/>
        <v>89.971087744099904</v>
      </c>
      <c r="D158" s="5">
        <f t="shared" ca="1" si="11"/>
        <v>89.591602518045619</v>
      </c>
      <c r="E158" s="5">
        <f t="shared" ca="1" si="12"/>
        <v>87.37974530841673</v>
      </c>
      <c r="F158" s="2">
        <f t="shared" ca="1" si="13"/>
        <v>70.746027910961161</v>
      </c>
      <c r="G158" s="2">
        <f t="shared" ca="1" si="14"/>
        <v>75.056741908723495</v>
      </c>
    </row>
    <row r="159" spans="1:7" ht="18.75" x14ac:dyDescent="0.25">
      <c r="A159" s="3">
        <v>41306</v>
      </c>
      <c r="B159" s="2">
        <v>87</v>
      </c>
      <c r="C159" s="4">
        <f t="shared" ca="1" si="10"/>
        <v>86.448372335087015</v>
      </c>
      <c r="D159" s="5">
        <f t="shared" ca="1" si="11"/>
        <v>86.429605862405438</v>
      </c>
      <c r="E159" s="5">
        <f t="shared" ca="1" si="12"/>
        <v>83.374958975230072</v>
      </c>
      <c r="F159" s="2">
        <f t="shared" ca="1" si="13"/>
        <v>96.949955738502652</v>
      </c>
      <c r="G159" s="2">
        <f t="shared" ca="1" si="14"/>
        <v>61.609146620695761</v>
      </c>
    </row>
    <row r="160" spans="1:7" ht="18.75" x14ac:dyDescent="0.25">
      <c r="A160" s="3">
        <v>41334</v>
      </c>
      <c r="B160" s="2">
        <v>100.4</v>
      </c>
      <c r="C160" s="4">
        <f t="shared" ca="1" si="10"/>
        <v>100.21682100088952</v>
      </c>
      <c r="D160" s="5">
        <f t="shared" ca="1" si="11"/>
        <v>104.1686769383073</v>
      </c>
      <c r="E160" s="5">
        <f t="shared" ca="1" si="12"/>
        <v>92.281713133871989</v>
      </c>
      <c r="F160" s="2">
        <f t="shared" ca="1" si="13"/>
        <v>99.257593254258566</v>
      </c>
      <c r="G160" s="2">
        <f t="shared" ca="1" si="14"/>
        <v>102.65869426173872</v>
      </c>
    </row>
    <row r="161" spans="1:7" ht="18.75" x14ac:dyDescent="0.25">
      <c r="A161" s="3">
        <v>41365</v>
      </c>
      <c r="B161" s="2">
        <v>92.5</v>
      </c>
      <c r="C161" s="4">
        <f t="shared" ca="1" si="10"/>
        <v>93.403206096015509</v>
      </c>
      <c r="D161" s="5">
        <f t="shared" ca="1" si="11"/>
        <v>93.892853817913135</v>
      </c>
      <c r="E161" s="5">
        <f t="shared" ca="1" si="12"/>
        <v>91.167790619564798</v>
      </c>
      <c r="F161" s="2">
        <f t="shared" ca="1" si="13"/>
        <v>66.447114923446634</v>
      </c>
      <c r="G161" s="2">
        <f t="shared" ca="1" si="14"/>
        <v>97.572878089439229</v>
      </c>
    </row>
    <row r="162" spans="1:7" ht="18.75" x14ac:dyDescent="0.25">
      <c r="A162" s="3">
        <v>41395</v>
      </c>
      <c r="B162" s="2">
        <v>100.9</v>
      </c>
      <c r="C162" s="4">
        <f t="shared" ca="1" si="10"/>
        <v>100.1281134741549</v>
      </c>
      <c r="D162" s="5">
        <f t="shared" ca="1" si="11"/>
        <v>105.16391010675358</v>
      </c>
      <c r="E162" s="5">
        <f t="shared" ca="1" si="12"/>
        <v>105.51205928188757</v>
      </c>
      <c r="F162" s="2">
        <f t="shared" ca="1" si="13"/>
        <v>96.464500861518644</v>
      </c>
      <c r="G162" s="2">
        <f t="shared" ca="1" si="14"/>
        <v>79.934467405311622</v>
      </c>
    </row>
    <row r="163" spans="1:7" ht="18.75" x14ac:dyDescent="0.25">
      <c r="A163" s="3">
        <v>41426</v>
      </c>
      <c r="B163" s="2">
        <v>99.2</v>
      </c>
      <c r="C163" s="4">
        <f t="shared" ca="1" si="10"/>
        <v>99.278987411390403</v>
      </c>
      <c r="D163" s="5">
        <f t="shared" ca="1" si="11"/>
        <v>101.02544297890013</v>
      </c>
      <c r="E163" s="5">
        <f t="shared" ca="1" si="12"/>
        <v>102.61061217629677</v>
      </c>
      <c r="F163" s="2">
        <f t="shared" ca="1" si="13"/>
        <v>94.627066586997742</v>
      </c>
      <c r="G163" s="2">
        <f t="shared" ca="1" si="14"/>
        <v>90.085599727042137</v>
      </c>
    </row>
    <row r="164" spans="1:7" ht="18.75" x14ac:dyDescent="0.25">
      <c r="A164" s="3">
        <v>41456</v>
      </c>
      <c r="B164" s="2">
        <v>99.6</v>
      </c>
      <c r="C164" s="4">
        <f t="shared" ca="1" si="10"/>
        <v>101.13331847537128</v>
      </c>
      <c r="D164" s="5">
        <f t="shared" ca="1" si="11"/>
        <v>96.823464120315094</v>
      </c>
      <c r="E164" s="5">
        <f t="shared" ca="1" si="12"/>
        <v>100.04610955031922</v>
      </c>
      <c r="F164" s="2">
        <f t="shared" ca="1" si="13"/>
        <v>115.82640037291408</v>
      </c>
      <c r="G164" s="2">
        <f t="shared" ca="1" si="14"/>
        <v>112.31265093365602</v>
      </c>
    </row>
    <row r="165" spans="1:7" ht="18.75" x14ac:dyDescent="0.25">
      <c r="A165" s="3">
        <v>41487</v>
      </c>
      <c r="B165" s="2">
        <v>102.7</v>
      </c>
      <c r="C165" s="4">
        <f t="shared" ca="1" si="10"/>
        <v>102.53880084012543</v>
      </c>
      <c r="D165" s="5">
        <f t="shared" ca="1" si="11"/>
        <v>102.6538208026854</v>
      </c>
      <c r="E165" s="5">
        <f t="shared" ca="1" si="12"/>
        <v>99.871433190783932</v>
      </c>
      <c r="F165" s="2">
        <f t="shared" ca="1" si="13"/>
        <v>116.93946391181696</v>
      </c>
      <c r="G165" s="2">
        <f t="shared" ca="1" si="14"/>
        <v>92.247983164607206</v>
      </c>
    </row>
    <row r="166" spans="1:7" ht="18.75" x14ac:dyDescent="0.25">
      <c r="A166" s="3">
        <v>41518</v>
      </c>
      <c r="B166" s="2">
        <v>92</v>
      </c>
      <c r="C166" s="4">
        <f t="shared" ca="1" si="10"/>
        <v>92.76993022381501</v>
      </c>
      <c r="D166" s="5">
        <f t="shared" ca="1" si="11"/>
        <v>92.068737052586286</v>
      </c>
      <c r="E166" s="5">
        <f t="shared" ca="1" si="12"/>
        <v>102.75933492828847</v>
      </c>
      <c r="F166" s="2">
        <f t="shared" ca="1" si="13"/>
        <v>90.270916566970826</v>
      </c>
      <c r="G166" s="2">
        <f t="shared" ca="1" si="14"/>
        <v>90.761378638545438</v>
      </c>
    </row>
    <row r="167" spans="1:7" ht="18.75" x14ac:dyDescent="0.25">
      <c r="A167" s="3">
        <v>41548</v>
      </c>
      <c r="B167" s="2">
        <v>98.2</v>
      </c>
      <c r="C167" s="4">
        <f t="shared" ca="1" si="10"/>
        <v>97.677130436092995</v>
      </c>
      <c r="D167" s="5">
        <f t="shared" ca="1" si="11"/>
        <v>100.47946696522936</v>
      </c>
      <c r="E167" s="5">
        <f t="shared" ca="1" si="12"/>
        <v>100.77738671871094</v>
      </c>
      <c r="F167" s="2">
        <f t="shared" ca="1" si="13"/>
        <v>96.664566815224376</v>
      </c>
      <c r="G167" s="2">
        <f t="shared" ca="1" si="14"/>
        <v>110.29466844054728</v>
      </c>
    </row>
    <row r="168" spans="1:7" ht="18.75" x14ac:dyDescent="0.25">
      <c r="A168" s="3">
        <v>41579</v>
      </c>
      <c r="B168" s="2">
        <v>102.5</v>
      </c>
      <c r="C168" s="4">
        <f t="shared" ca="1" si="10"/>
        <v>101.81032221452443</v>
      </c>
      <c r="D168" s="5">
        <f t="shared" ca="1" si="11"/>
        <v>99.575643357929138</v>
      </c>
      <c r="E168" s="5">
        <f t="shared" ca="1" si="12"/>
        <v>104.4572318646816</v>
      </c>
      <c r="F168" s="2">
        <f t="shared" ca="1" si="13"/>
        <v>124.40952504345762</v>
      </c>
      <c r="G168" s="2">
        <f t="shared" ca="1" si="14"/>
        <v>91.873285183753552</v>
      </c>
    </row>
    <row r="169" spans="1:7" ht="18.75" x14ac:dyDescent="0.25">
      <c r="A169" s="3">
        <v>41609</v>
      </c>
      <c r="B169" s="2">
        <v>116.3</v>
      </c>
      <c r="C169" s="4">
        <f t="shared" ca="1" si="10"/>
        <v>116.04630523303902</v>
      </c>
      <c r="D169" s="5">
        <f t="shared" ca="1" si="11"/>
        <v>111.77042428158454</v>
      </c>
      <c r="E169" s="5">
        <f t="shared" ca="1" si="12"/>
        <v>118.40103859069553</v>
      </c>
      <c r="F169" s="2">
        <f t="shared" ca="1" si="13"/>
        <v>114.16380080443342</v>
      </c>
      <c r="G169" s="2">
        <f t="shared" ca="1" si="14"/>
        <v>111.46963540033535</v>
      </c>
    </row>
    <row r="170" spans="1:7" ht="18.75" x14ac:dyDescent="0.25">
      <c r="A170" s="3">
        <v>41640</v>
      </c>
      <c r="B170" s="2">
        <v>91.6</v>
      </c>
      <c r="C170" s="4">
        <f t="shared" ca="1" si="10"/>
        <v>90.521283558525184</v>
      </c>
      <c r="D170" s="5">
        <f t="shared" ca="1" si="11"/>
        <v>93.924067794661354</v>
      </c>
      <c r="E170" s="5">
        <f t="shared" ca="1" si="12"/>
        <v>86.95573112779735</v>
      </c>
      <c r="F170" s="2">
        <f t="shared" ca="1" si="13"/>
        <v>75.437772238339534</v>
      </c>
      <c r="G170" s="2">
        <f t="shared" ca="1" si="14"/>
        <v>93.782668561344053</v>
      </c>
    </row>
    <row r="171" spans="1:7" ht="18.75" x14ac:dyDescent="0.25">
      <c r="A171" s="3">
        <v>41671</v>
      </c>
      <c r="B171" s="2">
        <v>87.9</v>
      </c>
      <c r="C171" s="4">
        <f t="shared" ca="1" si="10"/>
        <v>87.309547414902298</v>
      </c>
      <c r="D171" s="5">
        <f t="shared" ca="1" si="11"/>
        <v>85.92116647780658</v>
      </c>
      <c r="E171" s="5">
        <f t="shared" ca="1" si="12"/>
        <v>96.95408761670366</v>
      </c>
      <c r="F171" s="2">
        <f t="shared" ca="1" si="13"/>
        <v>83.204550993907802</v>
      </c>
      <c r="G171" s="2">
        <f t="shared" ca="1" si="14"/>
        <v>49.385866459156304</v>
      </c>
    </row>
    <row r="172" spans="1:7" ht="18.75" x14ac:dyDescent="0.25">
      <c r="A172" s="3">
        <v>41699</v>
      </c>
      <c r="B172" s="2">
        <v>96.2</v>
      </c>
      <c r="C172" s="4">
        <f t="shared" ca="1" si="10"/>
        <v>95.211646726529409</v>
      </c>
      <c r="D172" s="5">
        <f t="shared" ca="1" si="11"/>
        <v>94.868225678159462</v>
      </c>
      <c r="E172" s="5">
        <f t="shared" ca="1" si="12"/>
        <v>102.31192038456382</v>
      </c>
      <c r="F172" s="2">
        <f t="shared" ca="1" si="13"/>
        <v>92.419972967244917</v>
      </c>
      <c r="G172" s="2">
        <f t="shared" ca="1" si="14"/>
        <v>107.25059536288602</v>
      </c>
    </row>
    <row r="173" spans="1:7" ht="18.75" x14ac:dyDescent="0.25">
      <c r="A173" s="3">
        <v>41730</v>
      </c>
      <c r="B173" s="2">
        <v>99.9</v>
      </c>
      <c r="C173" s="4">
        <f t="shared" ca="1" si="10"/>
        <v>98.588023628648884</v>
      </c>
      <c r="D173" s="5">
        <f t="shared" ca="1" si="11"/>
        <v>98.173508429111564</v>
      </c>
      <c r="E173" s="5">
        <f t="shared" ca="1" si="12"/>
        <v>99.077306206775035</v>
      </c>
      <c r="F173" s="2">
        <f t="shared" ca="1" si="13"/>
        <v>117.20415319101274</v>
      </c>
      <c r="G173" s="2">
        <f t="shared" ca="1" si="14"/>
        <v>104.13158466143037</v>
      </c>
    </row>
    <row r="174" spans="1:7" ht="18.75" x14ac:dyDescent="0.25">
      <c r="A174" s="3">
        <v>41760</v>
      </c>
      <c r="B174" s="2">
        <v>102.4</v>
      </c>
      <c r="C174" s="4">
        <f t="shared" ca="1" si="10"/>
        <v>103.59534618103291</v>
      </c>
      <c r="D174" s="5">
        <f t="shared" ca="1" si="11"/>
        <v>99.796536204692728</v>
      </c>
      <c r="E174" s="5">
        <f t="shared" ca="1" si="12"/>
        <v>99.121662471775124</v>
      </c>
      <c r="F174" s="2">
        <f t="shared" ca="1" si="13"/>
        <v>110.2447963563759</v>
      </c>
      <c r="G174" s="2">
        <f t="shared" ca="1" si="14"/>
        <v>94.188916511625237</v>
      </c>
    </row>
    <row r="175" spans="1:7" ht="18.75" x14ac:dyDescent="0.25">
      <c r="A175" s="3">
        <v>41791</v>
      </c>
      <c r="B175" s="2">
        <v>100.6</v>
      </c>
      <c r="C175" s="4">
        <f t="shared" ca="1" si="10"/>
        <v>97.963829203562256</v>
      </c>
      <c r="D175" s="5">
        <f t="shared" ca="1" si="11"/>
        <v>100.3176241140992</v>
      </c>
      <c r="E175" s="5">
        <f t="shared" ca="1" si="12"/>
        <v>107.18337058589783</v>
      </c>
      <c r="F175" s="2">
        <f t="shared" ca="1" si="13"/>
        <v>101.33651777894596</v>
      </c>
      <c r="G175" s="2">
        <f t="shared" ca="1" si="14"/>
        <v>104.45670630908536</v>
      </c>
    </row>
    <row r="176" spans="1:7" ht="18.75" x14ac:dyDescent="0.25">
      <c r="A176" s="3">
        <v>41821</v>
      </c>
      <c r="B176" s="2">
        <v>101.6</v>
      </c>
      <c r="C176" s="4">
        <f t="shared" ca="1" si="10"/>
        <v>101.74196792233693</v>
      </c>
      <c r="D176" s="5">
        <f t="shared" ca="1" si="11"/>
        <v>98.461270461911255</v>
      </c>
      <c r="E176" s="5">
        <f t="shared" ca="1" si="12"/>
        <v>103.51518108279151</v>
      </c>
      <c r="F176" s="2">
        <f t="shared" ca="1" si="13"/>
        <v>104.89833231948917</v>
      </c>
      <c r="G176" s="2">
        <f t="shared" ca="1" si="14"/>
        <v>107.15351663643366</v>
      </c>
    </row>
    <row r="177" spans="1:7" ht="18.75" x14ac:dyDescent="0.25">
      <c r="A177" s="3">
        <v>41852</v>
      </c>
      <c r="B177" s="2">
        <v>100.6</v>
      </c>
      <c r="C177" s="4">
        <f t="shared" ca="1" si="10"/>
        <v>100.31981999073847</v>
      </c>
      <c r="D177" s="5">
        <f t="shared" ca="1" si="11"/>
        <v>100.63842475397828</v>
      </c>
      <c r="E177" s="5">
        <f t="shared" ca="1" si="12"/>
        <v>105.43378003281703</v>
      </c>
      <c r="F177" s="2">
        <f t="shared" ca="1" si="13"/>
        <v>96.91357273649237</v>
      </c>
      <c r="G177" s="2">
        <f t="shared" ca="1" si="14"/>
        <v>104.28204563666375</v>
      </c>
    </row>
    <row r="178" spans="1:7" ht="18.75" x14ac:dyDescent="0.25">
      <c r="A178" s="3">
        <v>41883</v>
      </c>
      <c r="B178" s="2">
        <v>96.2</v>
      </c>
      <c r="C178" s="4">
        <f t="shared" ca="1" si="10"/>
        <v>94.962532268769749</v>
      </c>
      <c r="D178" s="5">
        <f t="shared" ca="1" si="11"/>
        <v>95.755392534579315</v>
      </c>
      <c r="E178" s="5">
        <f t="shared" ca="1" si="12"/>
        <v>98.551574045971705</v>
      </c>
      <c r="F178" s="2">
        <f t="shared" ca="1" si="13"/>
        <v>109.03127227257397</v>
      </c>
      <c r="G178" s="2">
        <f t="shared" ca="1" si="14"/>
        <v>96.900135869157012</v>
      </c>
    </row>
    <row r="179" spans="1:7" ht="18.75" x14ac:dyDescent="0.25">
      <c r="A179" s="3">
        <v>41913</v>
      </c>
      <c r="B179" s="2">
        <v>100.7</v>
      </c>
      <c r="C179" s="4">
        <f t="shared" ca="1" si="10"/>
        <v>101.22730276802395</v>
      </c>
      <c r="D179" s="5">
        <f t="shared" ca="1" si="11"/>
        <v>98.598944447283273</v>
      </c>
      <c r="E179" s="5">
        <f t="shared" ca="1" si="12"/>
        <v>96.804903058609824</v>
      </c>
      <c r="F179" s="2">
        <f t="shared" ca="1" si="13"/>
        <v>88.171110934862384</v>
      </c>
      <c r="G179" s="2">
        <f t="shared" ca="1" si="14"/>
        <v>117.20256214548338</v>
      </c>
    </row>
    <row r="180" spans="1:7" ht="18.75" x14ac:dyDescent="0.25">
      <c r="A180" s="3">
        <v>41944</v>
      </c>
      <c r="B180" s="2">
        <v>99.2</v>
      </c>
      <c r="C180" s="4">
        <f t="shared" ca="1" si="10"/>
        <v>98.420601846455128</v>
      </c>
      <c r="D180" s="5">
        <f t="shared" ca="1" si="11"/>
        <v>100.08888360998625</v>
      </c>
      <c r="E180" s="5">
        <f t="shared" ca="1" si="12"/>
        <v>89.353029387041715</v>
      </c>
      <c r="F180" s="2">
        <f t="shared" ca="1" si="13"/>
        <v>86.167513628930124</v>
      </c>
      <c r="G180" s="2">
        <f t="shared" ca="1" si="14"/>
        <v>126.20592970154172</v>
      </c>
    </row>
    <row r="181" spans="1:7" ht="18.75" x14ac:dyDescent="0.25">
      <c r="A181" s="3">
        <v>41974</v>
      </c>
      <c r="B181" s="2">
        <v>122</v>
      </c>
      <c r="C181" s="4">
        <f t="shared" ca="1" si="10"/>
        <v>122.40153390860607</v>
      </c>
      <c r="D181" s="5">
        <f t="shared" ca="1" si="11"/>
        <v>120.63478021593704</v>
      </c>
      <c r="E181" s="5">
        <f t="shared" ca="1" si="12"/>
        <v>107.35944142414867</v>
      </c>
      <c r="F181" s="2">
        <f t="shared" ca="1" si="13"/>
        <v>112.72467364797997</v>
      </c>
      <c r="G181" s="2">
        <f t="shared" ca="1" si="14"/>
        <v>143.94406252039767</v>
      </c>
    </row>
    <row r="182" spans="1:7" ht="18.75" x14ac:dyDescent="0.25">
      <c r="A182" s="3">
        <v>42005</v>
      </c>
      <c r="B182" s="2">
        <v>93.5</v>
      </c>
      <c r="C182" s="4">
        <f t="shared" ca="1" si="10"/>
        <v>94.380116161743516</v>
      </c>
      <c r="D182" s="5">
        <f t="shared" ca="1" si="11"/>
        <v>96.45120827378247</v>
      </c>
      <c r="E182" s="5">
        <f t="shared" ca="1" si="12"/>
        <v>99.453735532319769</v>
      </c>
      <c r="F182" s="2">
        <f t="shared" ca="1" si="13"/>
        <v>96.218951481312104</v>
      </c>
      <c r="G182" s="2">
        <f t="shared" ca="1" si="14"/>
        <v>105.7669924918371</v>
      </c>
    </row>
    <row r="183" spans="1:7" ht="18.75" x14ac:dyDescent="0.25">
      <c r="A183" s="3">
        <v>42036</v>
      </c>
      <c r="B183" s="2">
        <v>87.9</v>
      </c>
      <c r="C183" s="4">
        <f t="shared" ca="1" si="10"/>
        <v>87.789048836686433</v>
      </c>
      <c r="D183" s="5">
        <f t="shared" ca="1" si="11"/>
        <v>90.661271690692629</v>
      </c>
      <c r="E183" s="5">
        <f t="shared" ca="1" si="12"/>
        <v>85.608366568617384</v>
      </c>
      <c r="F183" s="2">
        <f t="shared" ca="1" si="13"/>
        <v>82.850455770888701</v>
      </c>
      <c r="G183" s="2">
        <f t="shared" ca="1" si="14"/>
        <v>94.751935568907427</v>
      </c>
    </row>
    <row r="184" spans="1:7" ht="18.75" x14ac:dyDescent="0.25">
      <c r="A184" s="3">
        <v>42064</v>
      </c>
      <c r="B184" s="2">
        <v>102.2</v>
      </c>
      <c r="C184" s="4">
        <f t="shared" ca="1" si="10"/>
        <v>102.4117582700796</v>
      </c>
      <c r="D184" s="5">
        <f t="shared" ca="1" si="11"/>
        <v>107.99844027337519</v>
      </c>
      <c r="E184" s="5">
        <f t="shared" ca="1" si="12"/>
        <v>94.633012032509782</v>
      </c>
      <c r="F184" s="2">
        <f t="shared" ca="1" si="13"/>
        <v>89.47264084602439</v>
      </c>
      <c r="G184" s="2">
        <f t="shared" ca="1" si="14"/>
        <v>109.06788188661064</v>
      </c>
    </row>
    <row r="185" spans="1:7" ht="18.75" x14ac:dyDescent="0.25">
      <c r="A185" s="3">
        <v>42095</v>
      </c>
      <c r="B185" s="2">
        <v>94.4</v>
      </c>
      <c r="C185" s="4">
        <f t="shared" ca="1" si="10"/>
        <v>94.996284010593911</v>
      </c>
      <c r="D185" s="5">
        <f t="shared" ca="1" si="11"/>
        <v>92.221734371703135</v>
      </c>
      <c r="E185" s="5">
        <f t="shared" ca="1" si="12"/>
        <v>90.213765380029159</v>
      </c>
      <c r="F185" s="2">
        <f t="shared" ca="1" si="13"/>
        <v>103.57940409381834</v>
      </c>
      <c r="G185" s="2">
        <f t="shared" ca="1" si="14"/>
        <v>102.52604704914675</v>
      </c>
    </row>
    <row r="186" spans="1:7" ht="18.75" x14ac:dyDescent="0.25">
      <c r="A186" s="3">
        <v>42125</v>
      </c>
      <c r="B186" s="2">
        <v>100.3</v>
      </c>
      <c r="C186" s="4">
        <f t="shared" ca="1" si="10"/>
        <v>100.00717000510882</v>
      </c>
      <c r="D186" s="5">
        <f t="shared" ca="1" si="11"/>
        <v>97.09585153207739</v>
      </c>
      <c r="E186" s="5">
        <f t="shared" ca="1" si="12"/>
        <v>96.865694673813948</v>
      </c>
      <c r="F186" s="2">
        <f t="shared" ca="1" si="13"/>
        <v>130.10821803883158</v>
      </c>
      <c r="G186" s="2">
        <f t="shared" ca="1" si="14"/>
        <v>108.9595041542332</v>
      </c>
    </row>
    <row r="187" spans="1:7" ht="18.75" x14ac:dyDescent="0.25">
      <c r="A187" s="3">
        <v>42156</v>
      </c>
      <c r="B187" s="2">
        <v>102.2</v>
      </c>
      <c r="C187" s="4">
        <f t="shared" ca="1" si="10"/>
        <v>101.24228086316904</v>
      </c>
      <c r="D187" s="5">
        <f t="shared" ca="1" si="11"/>
        <v>100.78275239308542</v>
      </c>
      <c r="E187" s="5">
        <f t="shared" ca="1" si="12"/>
        <v>98.203631302536706</v>
      </c>
      <c r="F187" s="2">
        <f t="shared" ca="1" si="13"/>
        <v>100.85036937816911</v>
      </c>
      <c r="G187" s="2">
        <f t="shared" ca="1" si="14"/>
        <v>67.076985186365079</v>
      </c>
    </row>
    <row r="188" spans="1:7" ht="18.75" x14ac:dyDescent="0.25">
      <c r="A188" s="3">
        <v>42186</v>
      </c>
      <c r="B188" s="2">
        <v>101</v>
      </c>
      <c r="C188" s="4">
        <f t="shared" ca="1" si="10"/>
        <v>101.04508870593496</v>
      </c>
      <c r="D188" s="5">
        <f t="shared" ca="1" si="11"/>
        <v>104.6007498108499</v>
      </c>
      <c r="E188" s="5">
        <f t="shared" ca="1" si="12"/>
        <v>101.18868687866633</v>
      </c>
      <c r="F188" s="2">
        <f t="shared" ca="1" si="13"/>
        <v>94.105332780030977</v>
      </c>
      <c r="G188" s="2">
        <f t="shared" ca="1" si="14"/>
        <v>99.278317816973413</v>
      </c>
    </row>
    <row r="189" spans="1:7" ht="18.75" x14ac:dyDescent="0.25">
      <c r="A189" s="3">
        <v>42217</v>
      </c>
      <c r="B189" s="2">
        <v>101.9</v>
      </c>
      <c r="C189" s="4">
        <f t="shared" ca="1" si="10"/>
        <v>101.11582967841854</v>
      </c>
      <c r="D189" s="5">
        <f t="shared" ca="1" si="11"/>
        <v>100.33227617158406</v>
      </c>
      <c r="E189" s="5">
        <f t="shared" ca="1" si="12"/>
        <v>102.20018069308814</v>
      </c>
      <c r="F189" s="2">
        <f t="shared" ca="1" si="13"/>
        <v>121.27486122461538</v>
      </c>
      <c r="G189" s="2">
        <f t="shared" ca="1" si="14"/>
        <v>94.986911014841922</v>
      </c>
    </row>
    <row r="190" spans="1:7" ht="18.75" x14ac:dyDescent="0.25">
      <c r="A190" s="3">
        <v>42248</v>
      </c>
      <c r="B190" s="2">
        <v>96.1</v>
      </c>
      <c r="C190" s="4">
        <f t="shared" ca="1" si="10"/>
        <v>97.561151901817496</v>
      </c>
      <c r="D190" s="5">
        <f t="shared" ca="1" si="11"/>
        <v>93.642065449927912</v>
      </c>
      <c r="E190" s="5">
        <f t="shared" ca="1" si="12"/>
        <v>96.365791067900133</v>
      </c>
      <c r="F190" s="2">
        <f t="shared" ca="1" si="13"/>
        <v>78.007287777661645</v>
      </c>
      <c r="G190" s="2">
        <f t="shared" ca="1" si="14"/>
        <v>124.53135226484451</v>
      </c>
    </row>
    <row r="191" spans="1:7" ht="18.75" x14ac:dyDescent="0.25">
      <c r="A191" s="3">
        <v>42278</v>
      </c>
      <c r="B191" s="2">
        <v>102.7</v>
      </c>
      <c r="C191" s="4">
        <f t="shared" ca="1" si="10"/>
        <v>102.63928563647984</v>
      </c>
      <c r="D191" s="5">
        <f t="shared" ca="1" si="11"/>
        <v>103.91174353331391</v>
      </c>
      <c r="E191" s="5">
        <f t="shared" ca="1" si="12"/>
        <v>112.87548204198787</v>
      </c>
      <c r="F191" s="2">
        <f t="shared" ca="1" si="13"/>
        <v>93.217184719303432</v>
      </c>
      <c r="G191" s="2">
        <f t="shared" ca="1" si="14"/>
        <v>106.71113124862819</v>
      </c>
    </row>
    <row r="192" spans="1:7" ht="18.75" x14ac:dyDescent="0.25">
      <c r="A192" s="3">
        <v>42309</v>
      </c>
      <c r="B192" s="2">
        <v>96.9</v>
      </c>
      <c r="C192" s="4">
        <f t="shared" ca="1" si="10"/>
        <v>98.821898216982589</v>
      </c>
      <c r="D192" s="5">
        <f t="shared" ca="1" si="11"/>
        <v>97.133946372987069</v>
      </c>
      <c r="E192" s="5">
        <f t="shared" ca="1" si="12"/>
        <v>107.39244813645634</v>
      </c>
      <c r="F192" s="2">
        <f t="shared" ca="1" si="13"/>
        <v>120.82145858010605</v>
      </c>
      <c r="G192" s="2">
        <f t="shared" ca="1" si="14"/>
        <v>100.7793719918557</v>
      </c>
    </row>
    <row r="193" spans="1:7" ht="18.75" x14ac:dyDescent="0.25">
      <c r="A193" s="3">
        <v>42339</v>
      </c>
      <c r="B193" s="2">
        <v>121</v>
      </c>
      <c r="C193" s="4">
        <f t="shared" ca="1" si="10"/>
        <v>122.42566807109823</v>
      </c>
      <c r="D193" s="5">
        <f t="shared" ca="1" si="11"/>
        <v>119.85858439335749</v>
      </c>
      <c r="E193" s="5">
        <f t="shared" ca="1" si="12"/>
        <v>126.04314496751697</v>
      </c>
      <c r="F193" s="2">
        <f t="shared" ca="1" si="13"/>
        <v>127.84620172668239</v>
      </c>
      <c r="G193" s="2">
        <f t="shared" ca="1" si="14"/>
        <v>146.80961286741064</v>
      </c>
    </row>
    <row r="194" spans="1:7" ht="18.75" x14ac:dyDescent="0.25">
      <c r="A194" s="3">
        <v>42370</v>
      </c>
      <c r="B194" s="2">
        <v>90.8</v>
      </c>
      <c r="C194" s="4">
        <f t="shared" ca="1" si="10"/>
        <v>93.253437058836283</v>
      </c>
      <c r="D194" s="5">
        <f t="shared" ca="1" si="11"/>
        <v>92.436809879498611</v>
      </c>
      <c r="E194" s="5">
        <f t="shared" ca="1" si="12"/>
        <v>95.241479601448702</v>
      </c>
      <c r="F194" s="2">
        <f t="shared" ca="1" si="13"/>
        <v>82.799978224216517</v>
      </c>
      <c r="G194" s="2">
        <f t="shared" ca="1" si="14"/>
        <v>106.03317133493002</v>
      </c>
    </row>
    <row r="195" spans="1:7" ht="18.75" x14ac:dyDescent="0.25">
      <c r="A195" s="3">
        <v>42401</v>
      </c>
      <c r="B195" s="2">
        <v>91</v>
      </c>
      <c r="C195" s="4">
        <f t="shared" ref="C195:C258" ca="1" si="15">B195+NORMINV(RAND(),0,1)</f>
        <v>88.644123648428703</v>
      </c>
      <c r="D195" s="5">
        <f t="shared" ref="D195:D258" ca="1" si="16">B195+NORMINV(RAND(),0,3)</f>
        <v>93.969853670098672</v>
      </c>
      <c r="E195" s="5">
        <f t="shared" ref="E195:E258" ca="1" si="17">B195+NORMINV(RAND(),0,5)</f>
        <v>89.059368896752716</v>
      </c>
      <c r="F195" s="2">
        <f t="shared" ref="F195:F258" ca="1" si="18">B195+NORMINV(RAND(),0,10)</f>
        <v>95.528806242885025</v>
      </c>
      <c r="G195" s="2">
        <f t="shared" ref="G195:G258" ca="1" si="19">B195+NORMINV(RAND(),0,15)</f>
        <v>98.776525629266004</v>
      </c>
    </row>
    <row r="196" spans="1:7" ht="18.75" x14ac:dyDescent="0.25">
      <c r="A196" s="3">
        <v>42430</v>
      </c>
      <c r="B196" s="2">
        <v>99.3</v>
      </c>
      <c r="C196" s="4">
        <f t="shared" ca="1" si="15"/>
        <v>98.352899965903006</v>
      </c>
      <c r="D196" s="5">
        <f t="shared" ca="1" si="16"/>
        <v>102.91576340142325</v>
      </c>
      <c r="E196" s="5">
        <f t="shared" ca="1" si="17"/>
        <v>105.10801257133058</v>
      </c>
      <c r="F196" s="2">
        <f t="shared" ca="1" si="18"/>
        <v>118.14196368759838</v>
      </c>
      <c r="G196" s="2">
        <f t="shared" ca="1" si="19"/>
        <v>107.35340092041723</v>
      </c>
    </row>
    <row r="197" spans="1:7" ht="18.75" x14ac:dyDescent="0.25">
      <c r="A197" s="3">
        <v>42461</v>
      </c>
      <c r="B197" s="2">
        <v>97.5</v>
      </c>
      <c r="C197" s="4">
        <f t="shared" ca="1" si="15"/>
        <v>96.828739576752781</v>
      </c>
      <c r="D197" s="5">
        <f t="shared" ca="1" si="16"/>
        <v>100.14965025862939</v>
      </c>
      <c r="E197" s="5">
        <f t="shared" ca="1" si="17"/>
        <v>102.39398201501631</v>
      </c>
      <c r="F197" s="2">
        <f t="shared" ca="1" si="18"/>
        <v>82.042807787475056</v>
      </c>
      <c r="G197" s="2">
        <f t="shared" ca="1" si="19"/>
        <v>108.63521135171305</v>
      </c>
    </row>
    <row r="198" spans="1:7" ht="18.75" x14ac:dyDescent="0.25">
      <c r="A198" s="3">
        <v>42491</v>
      </c>
      <c r="B198" s="2">
        <v>102.4</v>
      </c>
      <c r="C198" s="4">
        <f t="shared" ca="1" si="15"/>
        <v>102.34469185813273</v>
      </c>
      <c r="D198" s="5">
        <f t="shared" ca="1" si="16"/>
        <v>104.23125433603117</v>
      </c>
      <c r="E198" s="5">
        <f t="shared" ca="1" si="17"/>
        <v>105.22252516021307</v>
      </c>
      <c r="F198" s="2">
        <f t="shared" ca="1" si="18"/>
        <v>95.904258504599014</v>
      </c>
      <c r="G198" s="2">
        <f t="shared" ca="1" si="19"/>
        <v>72.818449632385011</v>
      </c>
    </row>
    <row r="199" spans="1:7" ht="18.75" x14ac:dyDescent="0.25">
      <c r="A199" s="3">
        <v>42522</v>
      </c>
      <c r="B199" s="2">
        <v>103.6</v>
      </c>
      <c r="C199" s="4">
        <f t="shared" ca="1" si="15"/>
        <v>106.76723000467597</v>
      </c>
      <c r="D199" s="5">
        <f t="shared" ca="1" si="16"/>
        <v>100.4782949617156</v>
      </c>
      <c r="E199" s="5">
        <f t="shared" ca="1" si="17"/>
        <v>104.20095946260608</v>
      </c>
      <c r="F199" s="2">
        <f t="shared" ca="1" si="18"/>
        <v>82.432978484525762</v>
      </c>
      <c r="G199" s="2">
        <f t="shared" ca="1" si="19"/>
        <v>98.504967123633421</v>
      </c>
    </row>
    <row r="200" spans="1:7" ht="18.75" x14ac:dyDescent="0.25">
      <c r="A200" s="3">
        <v>42552</v>
      </c>
      <c r="B200" s="2">
        <v>98</v>
      </c>
      <c r="C200" s="4">
        <f t="shared" ca="1" si="15"/>
        <v>98.883940383871888</v>
      </c>
      <c r="D200" s="5">
        <f t="shared" ca="1" si="16"/>
        <v>94.985138665890005</v>
      </c>
      <c r="E200" s="5">
        <f t="shared" ca="1" si="17"/>
        <v>86.357213372529785</v>
      </c>
      <c r="F200" s="2">
        <f t="shared" ca="1" si="18"/>
        <v>86.795230060888457</v>
      </c>
      <c r="G200" s="2">
        <f t="shared" ca="1" si="19"/>
        <v>98.040790994796239</v>
      </c>
    </row>
    <row r="201" spans="1:7" ht="18.75" x14ac:dyDescent="0.25">
      <c r="A201" s="3">
        <v>42583</v>
      </c>
      <c r="B201" s="2">
        <v>101.3</v>
      </c>
      <c r="C201" s="4">
        <f t="shared" ca="1" si="15"/>
        <v>99.904424413460205</v>
      </c>
      <c r="D201" s="5">
        <f t="shared" ca="1" si="16"/>
        <v>99.6861160760524</v>
      </c>
      <c r="E201" s="5">
        <f t="shared" ca="1" si="17"/>
        <v>94.896648324524293</v>
      </c>
      <c r="F201" s="2">
        <f t="shared" ca="1" si="18"/>
        <v>105.97977865045</v>
      </c>
      <c r="G201" s="2">
        <f t="shared" ca="1" si="19"/>
        <v>105.33418058876002</v>
      </c>
    </row>
    <row r="202" spans="1:7" ht="18.75" x14ac:dyDescent="0.25">
      <c r="A202" s="3">
        <v>42614</v>
      </c>
      <c r="B202" s="2">
        <v>97.4</v>
      </c>
      <c r="C202" s="4">
        <f t="shared" ca="1" si="15"/>
        <v>96.204989443088678</v>
      </c>
      <c r="D202" s="5">
        <f t="shared" ca="1" si="16"/>
        <v>97.867884374770711</v>
      </c>
      <c r="E202" s="5">
        <f t="shared" ca="1" si="17"/>
        <v>93.193988781863567</v>
      </c>
      <c r="F202" s="2">
        <f t="shared" ca="1" si="18"/>
        <v>95.094557444264865</v>
      </c>
      <c r="G202" s="2">
        <f t="shared" ca="1" si="19"/>
        <v>93.375665183937642</v>
      </c>
    </row>
    <row r="203" spans="1:7" ht="18.75" x14ac:dyDescent="0.25">
      <c r="A203" s="3">
        <v>42644</v>
      </c>
      <c r="B203" s="2">
        <v>97.4</v>
      </c>
      <c r="C203" s="4">
        <f t="shared" ca="1" si="15"/>
        <v>97.472909529268549</v>
      </c>
      <c r="D203" s="5">
        <f t="shared" ca="1" si="16"/>
        <v>91.647268282851272</v>
      </c>
      <c r="E203" s="5">
        <f t="shared" ca="1" si="17"/>
        <v>101.80480525398727</v>
      </c>
      <c r="F203" s="2">
        <f t="shared" ca="1" si="18"/>
        <v>89.849566867954593</v>
      </c>
      <c r="G203" s="2">
        <f t="shared" ca="1" si="19"/>
        <v>98.6430777013952</v>
      </c>
    </row>
    <row r="204" spans="1:7" ht="18.75" x14ac:dyDescent="0.25">
      <c r="A204" s="3">
        <v>42675</v>
      </c>
      <c r="B204" s="2">
        <v>100.9</v>
      </c>
      <c r="C204" s="4">
        <f t="shared" ca="1" si="15"/>
        <v>101.0514154040893</v>
      </c>
      <c r="D204" s="5">
        <f t="shared" ca="1" si="16"/>
        <v>101.61651580672761</v>
      </c>
      <c r="E204" s="5">
        <f t="shared" ca="1" si="17"/>
        <v>116.18998082416734</v>
      </c>
      <c r="F204" s="2">
        <f t="shared" ca="1" si="18"/>
        <v>96.620488328981978</v>
      </c>
      <c r="G204" s="2">
        <f t="shared" ca="1" si="19"/>
        <v>85.321032677890116</v>
      </c>
    </row>
    <row r="205" spans="1:7" ht="18.75" x14ac:dyDescent="0.25">
      <c r="A205" s="3">
        <v>42705</v>
      </c>
      <c r="B205" s="2">
        <v>118.8</v>
      </c>
      <c r="C205" s="4">
        <f t="shared" ca="1" si="15"/>
        <v>119.68865736837579</v>
      </c>
      <c r="D205" s="5">
        <f t="shared" ca="1" si="16"/>
        <v>123.02379885257167</v>
      </c>
      <c r="E205" s="5">
        <f t="shared" ca="1" si="17"/>
        <v>119.02368508062919</v>
      </c>
      <c r="F205" s="2">
        <f t="shared" ca="1" si="18"/>
        <v>136.10239847096989</v>
      </c>
      <c r="G205" s="2">
        <f t="shared" ca="1" si="19"/>
        <v>106.56068472752297</v>
      </c>
    </row>
    <row r="206" spans="1:7" ht="18.75" x14ac:dyDescent="0.25">
      <c r="A206" s="3">
        <v>42736</v>
      </c>
      <c r="B206" s="2">
        <v>91.4</v>
      </c>
      <c r="C206" s="4">
        <f t="shared" ca="1" si="15"/>
        <v>91.707799834033295</v>
      </c>
      <c r="D206" s="5">
        <f t="shared" ca="1" si="16"/>
        <v>96.917088778572747</v>
      </c>
      <c r="E206" s="5">
        <f t="shared" ca="1" si="17"/>
        <v>90.72532443812662</v>
      </c>
      <c r="F206" s="2">
        <f t="shared" ca="1" si="18"/>
        <v>56.328615321542472</v>
      </c>
      <c r="G206" s="2">
        <f t="shared" ca="1" si="19"/>
        <v>110.73857268445298</v>
      </c>
    </row>
    <row r="207" spans="1:7" ht="18.75" x14ac:dyDescent="0.25">
      <c r="A207" s="3">
        <v>42767</v>
      </c>
      <c r="B207" s="2">
        <v>90.1</v>
      </c>
      <c r="C207" s="4">
        <f t="shared" ca="1" si="15"/>
        <v>87.730333311987309</v>
      </c>
      <c r="D207" s="5">
        <f t="shared" ca="1" si="16"/>
        <v>89.217172112032657</v>
      </c>
      <c r="E207" s="5">
        <f t="shared" ca="1" si="17"/>
        <v>87.677262877083436</v>
      </c>
      <c r="F207" s="2">
        <f t="shared" ca="1" si="18"/>
        <v>98.022268671279349</v>
      </c>
      <c r="G207" s="2">
        <f t="shared" ca="1" si="19"/>
        <v>87.091510225405059</v>
      </c>
    </row>
    <row r="208" spans="1:7" ht="18.75" x14ac:dyDescent="0.25">
      <c r="A208" s="3">
        <v>42795</v>
      </c>
      <c r="B208" s="2">
        <v>100.8</v>
      </c>
      <c r="C208" s="4">
        <f t="shared" ca="1" si="15"/>
        <v>100.47634435007652</v>
      </c>
      <c r="D208" s="5">
        <f t="shared" ca="1" si="16"/>
        <v>98.83107684829082</v>
      </c>
      <c r="E208" s="5">
        <f t="shared" ca="1" si="17"/>
        <v>94.746695478119761</v>
      </c>
      <c r="F208" s="2">
        <f t="shared" ca="1" si="18"/>
        <v>92.543462029958221</v>
      </c>
      <c r="G208" s="2">
        <f t="shared" ca="1" si="19"/>
        <v>79.299775991979445</v>
      </c>
    </row>
    <row r="209" spans="1:7" ht="18.75" x14ac:dyDescent="0.25">
      <c r="A209" s="3">
        <v>42826</v>
      </c>
      <c r="B209" s="2">
        <v>98.4</v>
      </c>
      <c r="C209" s="4">
        <f t="shared" ca="1" si="15"/>
        <v>98.378017912314363</v>
      </c>
      <c r="D209" s="5">
        <f t="shared" ca="1" si="16"/>
        <v>91.775506265682012</v>
      </c>
      <c r="E209" s="5">
        <f t="shared" ca="1" si="17"/>
        <v>90.55568504785191</v>
      </c>
      <c r="F209" s="2">
        <f t="shared" ca="1" si="18"/>
        <v>94.682240422947871</v>
      </c>
      <c r="G209" s="2">
        <f t="shared" ca="1" si="19"/>
        <v>99.40980264790889</v>
      </c>
    </row>
    <row r="210" spans="1:7" ht="18.75" x14ac:dyDescent="0.25">
      <c r="A210" s="3">
        <v>42856</v>
      </c>
      <c r="B210" s="2">
        <v>104.8</v>
      </c>
      <c r="C210" s="4">
        <f t="shared" ca="1" si="15"/>
        <v>104.56953340041676</v>
      </c>
      <c r="D210" s="5">
        <f t="shared" ca="1" si="16"/>
        <v>105.65573699674773</v>
      </c>
      <c r="E210" s="5">
        <f t="shared" ca="1" si="17"/>
        <v>102.65225588640189</v>
      </c>
      <c r="F210" s="2">
        <f t="shared" ca="1" si="18"/>
        <v>114.68242964918414</v>
      </c>
      <c r="G210" s="2">
        <f t="shared" ca="1" si="19"/>
        <v>77.851419693238313</v>
      </c>
    </row>
    <row r="211" spans="1:7" ht="18.75" x14ac:dyDescent="0.25">
      <c r="A211" s="3">
        <v>42887</v>
      </c>
      <c r="B211" s="2">
        <v>106</v>
      </c>
      <c r="C211" s="4">
        <f t="shared" ca="1" si="15"/>
        <v>105.86817385927822</v>
      </c>
      <c r="D211" s="5">
        <f t="shared" ca="1" si="16"/>
        <v>105.33019144559425</v>
      </c>
      <c r="E211" s="5">
        <f t="shared" ca="1" si="17"/>
        <v>106.83854060075896</v>
      </c>
      <c r="F211" s="2">
        <f t="shared" ca="1" si="18"/>
        <v>109.64406746008787</v>
      </c>
      <c r="G211" s="2">
        <f t="shared" ca="1" si="19"/>
        <v>112.53706383203</v>
      </c>
    </row>
    <row r="212" spans="1:7" ht="18.75" x14ac:dyDescent="0.25">
      <c r="A212" s="3">
        <v>42917</v>
      </c>
      <c r="B212" s="2">
        <v>99.3</v>
      </c>
      <c r="C212" s="4">
        <f t="shared" ca="1" si="15"/>
        <v>99.109700096264717</v>
      </c>
      <c r="D212" s="5">
        <f t="shared" ca="1" si="16"/>
        <v>99.25963343501941</v>
      </c>
      <c r="E212" s="5">
        <f t="shared" ca="1" si="17"/>
        <v>97.292101758043756</v>
      </c>
      <c r="F212" s="2">
        <f t="shared" ca="1" si="18"/>
        <v>92.566473280968964</v>
      </c>
      <c r="G212" s="2">
        <f t="shared" ca="1" si="19"/>
        <v>87.962776418834522</v>
      </c>
    </row>
    <row r="213" spans="1:7" ht="18.75" x14ac:dyDescent="0.25">
      <c r="A213" s="3">
        <v>42948</v>
      </c>
      <c r="B213" s="2">
        <v>103</v>
      </c>
      <c r="C213" s="4">
        <f t="shared" ca="1" si="15"/>
        <v>102.38122738806703</v>
      </c>
      <c r="D213" s="5">
        <f t="shared" ca="1" si="16"/>
        <v>101.54122563415639</v>
      </c>
      <c r="E213" s="5">
        <f t="shared" ca="1" si="17"/>
        <v>110.01668741181156</v>
      </c>
      <c r="F213" s="2">
        <f t="shared" ca="1" si="18"/>
        <v>98.091314823657271</v>
      </c>
      <c r="G213" s="2">
        <f t="shared" ca="1" si="19"/>
        <v>102.04017322098329</v>
      </c>
    </row>
    <row r="214" spans="1:7" ht="18.75" x14ac:dyDescent="0.25">
      <c r="A214" s="3">
        <v>42979</v>
      </c>
      <c r="B214" s="2">
        <v>100.5</v>
      </c>
      <c r="C214" s="4">
        <f t="shared" ca="1" si="15"/>
        <v>102.60894661132679</v>
      </c>
      <c r="D214" s="5">
        <f t="shared" ca="1" si="16"/>
        <v>102.07638380225121</v>
      </c>
      <c r="E214" s="5">
        <f t="shared" ca="1" si="17"/>
        <v>101.29748796229329</v>
      </c>
      <c r="F214" s="2">
        <f t="shared" ca="1" si="18"/>
        <v>93.572980191698036</v>
      </c>
      <c r="G214" s="2">
        <f t="shared" ca="1" si="19"/>
        <v>120.32126737073003</v>
      </c>
    </row>
    <row r="215" spans="1:7" ht="18.75" x14ac:dyDescent="0.25">
      <c r="A215" s="3">
        <v>43009</v>
      </c>
      <c r="B215" s="2">
        <v>97.4</v>
      </c>
      <c r="C215" s="4">
        <f t="shared" ca="1" si="15"/>
        <v>98.589631722278796</v>
      </c>
      <c r="D215" s="5">
        <f t="shared" ca="1" si="16"/>
        <v>96.825004438138578</v>
      </c>
      <c r="E215" s="5">
        <f t="shared" ca="1" si="17"/>
        <v>95.148935110482938</v>
      </c>
      <c r="F215" s="2">
        <f t="shared" ca="1" si="18"/>
        <v>103.1261414651926</v>
      </c>
      <c r="G215" s="2">
        <f t="shared" ca="1" si="19"/>
        <v>79.388399175878718</v>
      </c>
    </row>
    <row r="216" spans="1:7" ht="18.75" x14ac:dyDescent="0.25">
      <c r="A216" s="3">
        <v>43040</v>
      </c>
      <c r="B216" s="2">
        <v>102.7</v>
      </c>
      <c r="C216" s="4">
        <f t="shared" ca="1" si="15"/>
        <v>100.9760096970836</v>
      </c>
      <c r="D216" s="5">
        <f t="shared" ca="1" si="16"/>
        <v>101.89308427912825</v>
      </c>
      <c r="E216" s="5">
        <f t="shared" ca="1" si="17"/>
        <v>93.46423488393097</v>
      </c>
      <c r="F216" s="2">
        <f t="shared" ca="1" si="18"/>
        <v>97.973346323804591</v>
      </c>
      <c r="G216" s="2">
        <f t="shared" ca="1" si="19"/>
        <v>101.92790526705652</v>
      </c>
    </row>
    <row r="217" spans="1:7" ht="18.75" x14ac:dyDescent="0.25">
      <c r="A217" s="3">
        <v>43070</v>
      </c>
      <c r="B217" s="2">
        <v>123.2</v>
      </c>
      <c r="C217" s="4">
        <f t="shared" ca="1" si="15"/>
        <v>121.33788140147885</v>
      </c>
      <c r="D217" s="5">
        <f t="shared" ca="1" si="16"/>
        <v>124.74836536098285</v>
      </c>
      <c r="E217" s="5">
        <f t="shared" ca="1" si="17"/>
        <v>122.62113890680207</v>
      </c>
      <c r="F217" s="2">
        <f t="shared" ca="1" si="18"/>
        <v>121.62376644182368</v>
      </c>
      <c r="G217" s="2">
        <f t="shared" ca="1" si="19"/>
        <v>124.99852491721056</v>
      </c>
    </row>
    <row r="218" spans="1:7" ht="18.75" x14ac:dyDescent="0.25">
      <c r="A218" s="3">
        <v>43101</v>
      </c>
      <c r="B218" s="2">
        <v>92.7</v>
      </c>
      <c r="C218" s="4">
        <f t="shared" ca="1" si="15"/>
        <v>92.660698869622792</v>
      </c>
      <c r="D218" s="5">
        <f t="shared" ca="1" si="16"/>
        <v>96.126257833453067</v>
      </c>
      <c r="E218" s="5">
        <f t="shared" ca="1" si="17"/>
        <v>95.208768801377573</v>
      </c>
      <c r="F218" s="2">
        <f t="shared" ca="1" si="18"/>
        <v>105.77875362161456</v>
      </c>
      <c r="G218" s="2">
        <f t="shared" ca="1" si="19"/>
        <v>92.875792267688453</v>
      </c>
    </row>
    <row r="219" spans="1:7" ht="18.75" x14ac:dyDescent="0.25">
      <c r="A219" s="3">
        <v>43132</v>
      </c>
      <c r="B219" s="2">
        <v>89.4</v>
      </c>
      <c r="C219" s="4">
        <f t="shared" ca="1" si="15"/>
        <v>90.074222027147869</v>
      </c>
      <c r="D219" s="5">
        <f t="shared" ca="1" si="16"/>
        <v>88.865674082837245</v>
      </c>
      <c r="E219" s="5">
        <f t="shared" ca="1" si="17"/>
        <v>91.602510357195101</v>
      </c>
      <c r="F219" s="2">
        <f t="shared" ca="1" si="18"/>
        <v>100.77869895096751</v>
      </c>
      <c r="G219" s="2">
        <f t="shared" ca="1" si="19"/>
        <v>95.916571516215754</v>
      </c>
    </row>
    <row r="220" spans="1:7" ht="18.75" x14ac:dyDescent="0.25">
      <c r="A220" s="3">
        <v>43160</v>
      </c>
      <c r="B220" s="2">
        <v>107.1</v>
      </c>
      <c r="C220" s="4">
        <f t="shared" ca="1" si="15"/>
        <v>106.43268033843781</v>
      </c>
      <c r="D220" s="5">
        <f t="shared" ca="1" si="16"/>
        <v>103.75306373088192</v>
      </c>
      <c r="E220" s="5">
        <f t="shared" ca="1" si="17"/>
        <v>106.29088807845277</v>
      </c>
      <c r="F220" s="2">
        <f t="shared" ca="1" si="18"/>
        <v>104.92566287362435</v>
      </c>
      <c r="G220" s="2">
        <f t="shared" ca="1" si="19"/>
        <v>100.67294491464314</v>
      </c>
    </row>
    <row r="221" spans="1:7" ht="18.75" x14ac:dyDescent="0.25">
      <c r="A221" s="3">
        <v>43191</v>
      </c>
      <c r="B221" s="2">
        <v>93.8</v>
      </c>
      <c r="C221" s="4">
        <f t="shared" ca="1" si="15"/>
        <v>93.786091786315225</v>
      </c>
      <c r="D221" s="5">
        <f t="shared" ca="1" si="16"/>
        <v>99.07157826704676</v>
      </c>
      <c r="E221" s="5">
        <f t="shared" ca="1" si="17"/>
        <v>93.771550506612073</v>
      </c>
      <c r="F221" s="2">
        <f t="shared" ca="1" si="18"/>
        <v>98.519974855260585</v>
      </c>
      <c r="G221" s="2">
        <f t="shared" ca="1" si="19"/>
        <v>120.11411371412537</v>
      </c>
    </row>
    <row r="222" spans="1:7" ht="18.75" x14ac:dyDescent="0.25">
      <c r="A222" s="3">
        <v>43221</v>
      </c>
      <c r="B222" s="2">
        <v>107.6</v>
      </c>
      <c r="C222" s="4">
        <f t="shared" ca="1" si="15"/>
        <v>106.7048318207594</v>
      </c>
      <c r="D222" s="5">
        <f t="shared" ca="1" si="16"/>
        <v>105.18559670856318</v>
      </c>
      <c r="E222" s="5">
        <f t="shared" ca="1" si="17"/>
        <v>100.39166751162287</v>
      </c>
      <c r="F222" s="2">
        <f t="shared" ca="1" si="18"/>
        <v>126.82447118989825</v>
      </c>
      <c r="G222" s="2">
        <f t="shared" ca="1" si="19"/>
        <v>90.681036228997328</v>
      </c>
    </row>
    <row r="223" spans="1:7" ht="18.75" x14ac:dyDescent="0.25">
      <c r="A223" s="3">
        <v>43252</v>
      </c>
      <c r="B223" s="2">
        <v>107.5</v>
      </c>
      <c r="C223" s="4">
        <f t="shared" ca="1" si="15"/>
        <v>107.48517296979247</v>
      </c>
      <c r="D223" s="5">
        <f t="shared" ca="1" si="16"/>
        <v>108.38132692690721</v>
      </c>
      <c r="E223" s="5">
        <f t="shared" ca="1" si="17"/>
        <v>113.67565043453621</v>
      </c>
      <c r="F223" s="2">
        <f t="shared" ca="1" si="18"/>
        <v>83.039429702339874</v>
      </c>
      <c r="G223" s="2">
        <f t="shared" ca="1" si="19"/>
        <v>120.57220821561259</v>
      </c>
    </row>
    <row r="224" spans="1:7" ht="18.75" x14ac:dyDescent="0.25">
      <c r="A224" s="3">
        <v>43282</v>
      </c>
      <c r="B224" s="2">
        <v>100.2</v>
      </c>
      <c r="C224" s="4">
        <f t="shared" ca="1" si="15"/>
        <v>101.52981914204386</v>
      </c>
      <c r="D224" s="5">
        <f t="shared" ca="1" si="16"/>
        <v>102.34150331378736</v>
      </c>
      <c r="E224" s="5">
        <f t="shared" ca="1" si="17"/>
        <v>94.497093933272737</v>
      </c>
      <c r="F224" s="2">
        <f t="shared" ca="1" si="18"/>
        <v>107.71653973707211</v>
      </c>
      <c r="G224" s="2">
        <f t="shared" ca="1" si="19"/>
        <v>85.160155126426673</v>
      </c>
    </row>
    <row r="225" spans="1:7" ht="18.75" x14ac:dyDescent="0.25">
      <c r="A225" s="3">
        <v>43313</v>
      </c>
      <c r="B225" s="2">
        <v>104.7</v>
      </c>
      <c r="C225" s="4">
        <f t="shared" ca="1" si="15"/>
        <v>104.8686367073322</v>
      </c>
      <c r="D225" s="5">
        <f t="shared" ca="1" si="16"/>
        <v>96.806145470848278</v>
      </c>
      <c r="E225" s="5">
        <f t="shared" ca="1" si="17"/>
        <v>109.1332267667854</v>
      </c>
      <c r="F225" s="2">
        <f t="shared" ca="1" si="18"/>
        <v>95.206367394736532</v>
      </c>
      <c r="G225" s="2">
        <f t="shared" ca="1" si="19"/>
        <v>117.88896821639794</v>
      </c>
    </row>
    <row r="226" spans="1:7" ht="18.75" x14ac:dyDescent="0.25">
      <c r="A226" s="3">
        <v>43344</v>
      </c>
      <c r="B226" s="2">
        <v>96</v>
      </c>
      <c r="C226" s="4">
        <f t="shared" ca="1" si="15"/>
        <v>95.481851214629955</v>
      </c>
      <c r="D226" s="5">
        <f t="shared" ca="1" si="16"/>
        <v>98.602339173028639</v>
      </c>
      <c r="E226" s="5">
        <f t="shared" ca="1" si="17"/>
        <v>102.2925669878139</v>
      </c>
      <c r="F226" s="2">
        <f t="shared" ca="1" si="18"/>
        <v>105.44461318301292</v>
      </c>
      <c r="G226" s="2">
        <f t="shared" ca="1" si="19"/>
        <v>128.73254931380944</v>
      </c>
    </row>
    <row r="227" spans="1:7" ht="18.75" x14ac:dyDescent="0.25">
      <c r="A227" s="3">
        <v>43374</v>
      </c>
      <c r="B227" s="2">
        <v>101.3</v>
      </c>
      <c r="C227" s="4">
        <f t="shared" ca="1" si="15"/>
        <v>101.22479355278537</v>
      </c>
      <c r="D227" s="5">
        <f t="shared" ca="1" si="16"/>
        <v>99.263860145621024</v>
      </c>
      <c r="E227" s="5">
        <f t="shared" ca="1" si="17"/>
        <v>105.27295422696699</v>
      </c>
      <c r="F227" s="2">
        <f t="shared" ca="1" si="18"/>
        <v>127.3189196378445</v>
      </c>
      <c r="G227" s="2">
        <f t="shared" ca="1" si="19"/>
        <v>93.814359108162137</v>
      </c>
    </row>
    <row r="228" spans="1:7" ht="18.75" x14ac:dyDescent="0.25">
      <c r="A228" s="3">
        <v>43405</v>
      </c>
      <c r="B228" s="2">
        <v>103.1</v>
      </c>
      <c r="C228" s="4">
        <f t="shared" ca="1" si="15"/>
        <v>103.84609618912093</v>
      </c>
      <c r="D228" s="5">
        <f t="shared" ca="1" si="16"/>
        <v>105.51232823184171</v>
      </c>
      <c r="E228" s="5">
        <f t="shared" ca="1" si="17"/>
        <v>107.4983153197266</v>
      </c>
      <c r="F228" s="2">
        <f t="shared" ca="1" si="18"/>
        <v>117.37252486007709</v>
      </c>
      <c r="G228" s="2">
        <f t="shared" ca="1" si="19"/>
        <v>109.4824899245765</v>
      </c>
    </row>
    <row r="229" spans="1:7" ht="18.75" x14ac:dyDescent="0.25">
      <c r="A229" s="3">
        <v>43435</v>
      </c>
      <c r="B229" s="2">
        <v>121.3</v>
      </c>
      <c r="C229" s="4">
        <f t="shared" ca="1" si="15"/>
        <v>119.36899299141155</v>
      </c>
      <c r="D229" s="5">
        <f t="shared" ca="1" si="16"/>
        <v>119.7061873083147</v>
      </c>
      <c r="E229" s="5">
        <f t="shared" ca="1" si="17"/>
        <v>125.03298085933648</v>
      </c>
      <c r="F229" s="2">
        <f t="shared" ca="1" si="18"/>
        <v>119.34765377282564</v>
      </c>
      <c r="G229" s="2">
        <f t="shared" ca="1" si="19"/>
        <v>125.13798740104154</v>
      </c>
    </row>
    <row r="230" spans="1:7" ht="18.75" x14ac:dyDescent="0.25">
      <c r="A230" s="3">
        <v>43466</v>
      </c>
      <c r="B230" s="2">
        <v>93.1</v>
      </c>
      <c r="C230" s="4">
        <f t="shared" ca="1" si="15"/>
        <v>92.995979868953</v>
      </c>
      <c r="D230" s="5">
        <f t="shared" ca="1" si="16"/>
        <v>94.657936408827027</v>
      </c>
      <c r="E230" s="5">
        <f t="shared" ca="1" si="17"/>
        <v>101.94552574755146</v>
      </c>
      <c r="F230" s="2">
        <f t="shared" ca="1" si="18"/>
        <v>91.030057695973468</v>
      </c>
      <c r="G230" s="2">
        <f t="shared" ca="1" si="19"/>
        <v>96.07334342972986</v>
      </c>
    </row>
    <row r="231" spans="1:7" ht="18.75" x14ac:dyDescent="0.25">
      <c r="A231" s="3">
        <v>43497</v>
      </c>
      <c r="B231" s="2">
        <v>89.9</v>
      </c>
      <c r="C231" s="4">
        <f t="shared" ca="1" si="15"/>
        <v>89.985279711250811</v>
      </c>
      <c r="D231" s="5">
        <f t="shared" ca="1" si="16"/>
        <v>93.403704217154157</v>
      </c>
      <c r="E231" s="5">
        <f t="shared" ca="1" si="17"/>
        <v>87.087639871147942</v>
      </c>
      <c r="F231" s="2">
        <f t="shared" ca="1" si="18"/>
        <v>106.11406138105508</v>
      </c>
      <c r="G231" s="2">
        <f t="shared" ca="1" si="19"/>
        <v>85.153635999575812</v>
      </c>
    </row>
    <row r="232" spans="1:7" ht="18.75" x14ac:dyDescent="0.25">
      <c r="A232" s="3">
        <v>43525</v>
      </c>
      <c r="B232" s="2">
        <v>100.6</v>
      </c>
      <c r="C232" s="4">
        <f t="shared" ca="1" si="15"/>
        <v>100.89916924259076</v>
      </c>
      <c r="D232" s="5">
        <f t="shared" ca="1" si="16"/>
        <v>101.187381592962</v>
      </c>
      <c r="E232" s="5">
        <f t="shared" ca="1" si="17"/>
        <v>98.859628185176305</v>
      </c>
      <c r="F232" s="2">
        <f t="shared" ca="1" si="18"/>
        <v>109.92091274066317</v>
      </c>
      <c r="G232" s="2">
        <f t="shared" ca="1" si="19"/>
        <v>110.04087104951803</v>
      </c>
    </row>
    <row r="233" spans="1:7" ht="18.75" x14ac:dyDescent="0.25">
      <c r="A233" s="3">
        <v>43556</v>
      </c>
      <c r="B233" s="2">
        <v>103.2</v>
      </c>
      <c r="C233" s="4">
        <f t="shared" ca="1" si="15"/>
        <v>102.71208164393487</v>
      </c>
      <c r="D233" s="5">
        <f t="shared" ca="1" si="16"/>
        <v>106.65624041040041</v>
      </c>
      <c r="E233" s="5">
        <f t="shared" ca="1" si="17"/>
        <v>104.66511923458987</v>
      </c>
      <c r="F233" s="2">
        <f t="shared" ca="1" si="18"/>
        <v>111.00010781194462</v>
      </c>
      <c r="G233" s="2">
        <f t="shared" ca="1" si="19"/>
        <v>119.38805105813519</v>
      </c>
    </row>
    <row r="234" spans="1:7" ht="18.75" x14ac:dyDescent="0.25">
      <c r="A234" s="3">
        <v>43586</v>
      </c>
      <c r="B234" s="2">
        <v>105.3</v>
      </c>
      <c r="C234" s="4">
        <f t="shared" ca="1" si="15"/>
        <v>106.97918487474819</v>
      </c>
      <c r="D234" s="5">
        <f t="shared" ca="1" si="16"/>
        <v>107.47443404483208</v>
      </c>
      <c r="E234" s="5">
        <f t="shared" ca="1" si="17"/>
        <v>100.88109245859798</v>
      </c>
      <c r="F234" s="2">
        <f t="shared" ca="1" si="18"/>
        <v>106.66388518341752</v>
      </c>
      <c r="G234" s="2">
        <f t="shared" ca="1" si="19"/>
        <v>108.62284622953848</v>
      </c>
    </row>
    <row r="235" spans="1:7" ht="18.75" x14ac:dyDescent="0.25">
      <c r="A235" s="3">
        <v>43617</v>
      </c>
      <c r="B235" s="2">
        <v>101.7</v>
      </c>
      <c r="C235" s="4">
        <f t="shared" ca="1" si="15"/>
        <v>102.93362572140038</v>
      </c>
      <c r="D235" s="5">
        <f t="shared" ca="1" si="16"/>
        <v>104.83331457241616</v>
      </c>
      <c r="E235" s="5">
        <f t="shared" ca="1" si="17"/>
        <v>104.07083348931209</v>
      </c>
      <c r="F235" s="2">
        <f t="shared" ca="1" si="18"/>
        <v>105.64570451099219</v>
      </c>
      <c r="G235" s="2">
        <f t="shared" ca="1" si="19"/>
        <v>87.897708605651331</v>
      </c>
    </row>
    <row r="236" spans="1:7" ht="18.75" x14ac:dyDescent="0.25">
      <c r="A236" s="3">
        <v>43647</v>
      </c>
      <c r="B236" s="2">
        <v>103.3</v>
      </c>
      <c r="C236" s="4">
        <f t="shared" ca="1" si="15"/>
        <v>103.04358883332259</v>
      </c>
      <c r="D236" s="5">
        <f t="shared" ca="1" si="16"/>
        <v>104.61440939821289</v>
      </c>
      <c r="E236" s="5">
        <f t="shared" ca="1" si="17"/>
        <v>110.69507394999782</v>
      </c>
      <c r="F236" s="2">
        <f t="shared" ca="1" si="18"/>
        <v>100.57606138596719</v>
      </c>
      <c r="G236" s="2">
        <f t="shared" ca="1" si="19"/>
        <v>90.260017051789617</v>
      </c>
    </row>
    <row r="237" spans="1:7" ht="18.75" x14ac:dyDescent="0.25">
      <c r="A237" s="3">
        <v>43678</v>
      </c>
      <c r="B237" s="2">
        <v>106.8</v>
      </c>
      <c r="C237" s="4">
        <f t="shared" ca="1" si="15"/>
        <v>107.87754492198202</v>
      </c>
      <c r="D237" s="5">
        <f t="shared" ca="1" si="16"/>
        <v>106.10007266813143</v>
      </c>
      <c r="E237" s="5">
        <f t="shared" ca="1" si="17"/>
        <v>104.78632388901111</v>
      </c>
      <c r="F237" s="2">
        <f t="shared" ca="1" si="18"/>
        <v>116.29522827316801</v>
      </c>
      <c r="G237" s="2">
        <f t="shared" ca="1" si="19"/>
        <v>126.60664764344334</v>
      </c>
    </row>
    <row r="238" spans="1:7" ht="18.75" x14ac:dyDescent="0.25">
      <c r="A238" s="3">
        <v>43709</v>
      </c>
      <c r="B238" s="2">
        <v>95.2</v>
      </c>
      <c r="C238" s="4">
        <f t="shared" ca="1" si="15"/>
        <v>96.241238294244084</v>
      </c>
      <c r="D238" s="5">
        <f t="shared" ca="1" si="16"/>
        <v>92.819178760693873</v>
      </c>
      <c r="E238" s="5">
        <f t="shared" ca="1" si="17"/>
        <v>94.725453170057847</v>
      </c>
      <c r="F238" s="2">
        <f t="shared" ca="1" si="18"/>
        <v>100.75249189348175</v>
      </c>
      <c r="G238" s="2">
        <f t="shared" ca="1" si="19"/>
        <v>101.93285994520659</v>
      </c>
    </row>
    <row r="239" spans="1:7" ht="18.75" x14ac:dyDescent="0.25">
      <c r="A239" s="3">
        <v>43739</v>
      </c>
      <c r="B239" s="2">
        <v>101.3</v>
      </c>
      <c r="C239" s="4">
        <f t="shared" ca="1" si="15"/>
        <v>100.51794512909122</v>
      </c>
      <c r="D239" s="5">
        <f t="shared" ca="1" si="16"/>
        <v>104.53503804076736</v>
      </c>
      <c r="E239" s="5">
        <f t="shared" ca="1" si="17"/>
        <v>96.724304906053078</v>
      </c>
      <c r="F239" s="2">
        <f t="shared" ca="1" si="18"/>
        <v>105.19101201256284</v>
      </c>
      <c r="G239" s="2">
        <f t="shared" ca="1" si="19"/>
        <v>118.96270980660255</v>
      </c>
    </row>
    <row r="240" spans="1:7" ht="18.75" x14ac:dyDescent="0.25">
      <c r="A240" s="3">
        <v>43770</v>
      </c>
      <c r="B240" s="2">
        <v>105.6</v>
      </c>
      <c r="C240" s="4">
        <f t="shared" ca="1" si="15"/>
        <v>105.97380641480501</v>
      </c>
      <c r="D240" s="5">
        <f t="shared" ca="1" si="16"/>
        <v>105.41907377421568</v>
      </c>
      <c r="E240" s="5">
        <f t="shared" ca="1" si="17"/>
        <v>103.85682700906254</v>
      </c>
      <c r="F240" s="2">
        <f t="shared" ca="1" si="18"/>
        <v>102.88445729280097</v>
      </c>
      <c r="G240" s="2">
        <f t="shared" ca="1" si="19"/>
        <v>108.03966877392169</v>
      </c>
    </row>
    <row r="241" spans="1:7" ht="18.75" x14ac:dyDescent="0.25">
      <c r="A241" s="3">
        <v>43800</v>
      </c>
      <c r="B241" s="2">
        <v>120.6</v>
      </c>
      <c r="C241" s="4">
        <f t="shared" ca="1" si="15"/>
        <v>118.40168698028488</v>
      </c>
      <c r="D241" s="5">
        <f t="shared" ca="1" si="16"/>
        <v>118.36485779373879</v>
      </c>
      <c r="E241" s="5">
        <f t="shared" ca="1" si="17"/>
        <v>120.04426399590604</v>
      </c>
      <c r="F241" s="2">
        <f t="shared" ca="1" si="18"/>
        <v>110.69118429529874</v>
      </c>
      <c r="G241" s="2">
        <f t="shared" ca="1" si="19"/>
        <v>149.13549895298107</v>
      </c>
    </row>
    <row r="242" spans="1:7" ht="18.75" x14ac:dyDescent="0.25">
      <c r="A242" s="3">
        <v>43831</v>
      </c>
      <c r="B242" s="2">
        <v>93.8</v>
      </c>
      <c r="C242" s="4">
        <f t="shared" ca="1" si="15"/>
        <v>94.863764737328808</v>
      </c>
      <c r="D242" s="5">
        <f t="shared" ca="1" si="16"/>
        <v>90.634928089517246</v>
      </c>
      <c r="E242" s="5">
        <f t="shared" ca="1" si="17"/>
        <v>92.80934583090486</v>
      </c>
      <c r="F242" s="2">
        <f t="shared" ca="1" si="18"/>
        <v>66.461830213716667</v>
      </c>
      <c r="G242" s="2">
        <f t="shared" ca="1" si="19"/>
        <v>81.779064191584084</v>
      </c>
    </row>
    <row r="243" spans="1:7" ht="18.75" x14ac:dyDescent="0.25">
      <c r="A243" s="3">
        <v>43862</v>
      </c>
      <c r="B243" s="2">
        <v>95.1</v>
      </c>
      <c r="C243" s="4">
        <f t="shared" ca="1" si="15"/>
        <v>93.567349273759149</v>
      </c>
      <c r="D243" s="5">
        <f t="shared" ca="1" si="16"/>
        <v>97.165662202210029</v>
      </c>
      <c r="E243" s="5">
        <f t="shared" ca="1" si="17"/>
        <v>95.347100606852095</v>
      </c>
      <c r="F243" s="2">
        <f t="shared" ca="1" si="18"/>
        <v>119.73357713347485</v>
      </c>
      <c r="G243" s="2">
        <f t="shared" ca="1" si="19"/>
        <v>97.25797097300304</v>
      </c>
    </row>
    <row r="244" spans="1:7" ht="18.75" x14ac:dyDescent="0.25">
      <c r="A244" s="3">
        <v>43891</v>
      </c>
      <c r="B244" s="2">
        <v>109</v>
      </c>
      <c r="C244" s="4">
        <f t="shared" ca="1" si="15"/>
        <v>108.8828198322409</v>
      </c>
      <c r="D244" s="5">
        <f t="shared" ca="1" si="16"/>
        <v>110.1780690571162</v>
      </c>
      <c r="E244" s="5">
        <f t="shared" ca="1" si="17"/>
        <v>107.95236071442422</v>
      </c>
      <c r="F244" s="2">
        <f t="shared" ca="1" si="18"/>
        <v>105.28426833396119</v>
      </c>
      <c r="G244" s="2">
        <f t="shared" ca="1" si="19"/>
        <v>121.04629325499278</v>
      </c>
    </row>
    <row r="245" spans="1:7" ht="18.75" x14ac:dyDescent="0.25">
      <c r="A245" s="3">
        <v>43922</v>
      </c>
      <c r="B245" s="2">
        <v>115.7</v>
      </c>
      <c r="C245" s="4">
        <f t="shared" ca="1" si="15"/>
        <v>115.63623610970708</v>
      </c>
      <c r="D245" s="5">
        <f t="shared" ca="1" si="16"/>
        <v>114.79625266647803</v>
      </c>
      <c r="E245" s="5">
        <f t="shared" ca="1" si="17"/>
        <v>113.63018983420454</v>
      </c>
      <c r="F245" s="2">
        <f t="shared" ca="1" si="18"/>
        <v>111.23103649528463</v>
      </c>
      <c r="G245" s="2">
        <f t="shared" ca="1" si="19"/>
        <v>98.491024399508447</v>
      </c>
    </row>
    <row r="246" spans="1:7" ht="18.75" x14ac:dyDescent="0.25">
      <c r="A246" s="3">
        <v>43952</v>
      </c>
      <c r="B246" s="2">
        <v>119.3</v>
      </c>
      <c r="C246" s="4">
        <f t="shared" ca="1" si="15"/>
        <v>118.88023023494813</v>
      </c>
      <c r="D246" s="5">
        <f t="shared" ca="1" si="16"/>
        <v>121.28083613340597</v>
      </c>
      <c r="E246" s="5">
        <f t="shared" ca="1" si="17"/>
        <v>120.9288070364631</v>
      </c>
      <c r="F246" s="2">
        <f t="shared" ca="1" si="18"/>
        <v>123.56693381052321</v>
      </c>
      <c r="G246" s="2">
        <f t="shared" ca="1" si="19"/>
        <v>139.54072953257565</v>
      </c>
    </row>
    <row r="247" spans="1:7" ht="18.75" x14ac:dyDescent="0.25">
      <c r="A247" s="3">
        <v>43983</v>
      </c>
      <c r="B247" s="2">
        <v>123.2</v>
      </c>
      <c r="C247" s="4">
        <f t="shared" ca="1" si="15"/>
        <v>122.96407425305463</v>
      </c>
      <c r="D247" s="5">
        <f t="shared" ca="1" si="16"/>
        <v>121.85159777679391</v>
      </c>
      <c r="E247" s="5">
        <f t="shared" ca="1" si="17"/>
        <v>126.07486252429136</v>
      </c>
      <c r="F247" s="2">
        <f t="shared" ca="1" si="18"/>
        <v>130.37936619074844</v>
      </c>
      <c r="G247" s="2">
        <f t="shared" ca="1" si="19"/>
        <v>123.73095416420372</v>
      </c>
    </row>
    <row r="248" spans="1:7" ht="18.75" x14ac:dyDescent="0.25">
      <c r="A248" s="3">
        <v>44013</v>
      </c>
      <c r="B248" s="2">
        <v>123.1</v>
      </c>
      <c r="C248" s="4">
        <f t="shared" ca="1" si="15"/>
        <v>123.51726161665779</v>
      </c>
      <c r="D248" s="5">
        <f t="shared" ca="1" si="16"/>
        <v>125.38764206995231</v>
      </c>
      <c r="E248" s="5">
        <f t="shared" ca="1" si="17"/>
        <v>126.68205377142479</v>
      </c>
      <c r="F248" s="2">
        <f t="shared" ca="1" si="18"/>
        <v>116.52657174393808</v>
      </c>
      <c r="G248" s="2">
        <f t="shared" ca="1" si="19"/>
        <v>149.20343414838283</v>
      </c>
    </row>
    <row r="249" spans="1:7" ht="18.75" x14ac:dyDescent="0.25">
      <c r="A249" s="3">
        <v>44044</v>
      </c>
      <c r="B249" s="2">
        <v>117.5</v>
      </c>
      <c r="C249" s="4">
        <f t="shared" ca="1" si="15"/>
        <v>116.0880911254982</v>
      </c>
      <c r="D249" s="5">
        <f t="shared" ca="1" si="16"/>
        <v>117.59288511848199</v>
      </c>
      <c r="E249" s="5">
        <f t="shared" ca="1" si="17"/>
        <v>115.46208662535062</v>
      </c>
      <c r="F249" s="2">
        <f t="shared" ca="1" si="18"/>
        <v>120.81938149309838</v>
      </c>
      <c r="G249" s="2">
        <f t="shared" ca="1" si="19"/>
        <v>103.07426821747076</v>
      </c>
    </row>
    <row r="250" spans="1:7" ht="18.75" x14ac:dyDescent="0.25">
      <c r="A250" s="3">
        <v>44075</v>
      </c>
      <c r="B250" s="2">
        <v>111</v>
      </c>
      <c r="C250" s="4">
        <f t="shared" ca="1" si="15"/>
        <v>110.7250331255231</v>
      </c>
      <c r="D250" s="5">
        <f t="shared" ca="1" si="16"/>
        <v>111.43622937922277</v>
      </c>
      <c r="E250" s="5">
        <f t="shared" ca="1" si="17"/>
        <v>115.71374790831071</v>
      </c>
      <c r="F250" s="2">
        <f t="shared" ca="1" si="18"/>
        <v>115.49562741098897</v>
      </c>
      <c r="G250" s="2">
        <f t="shared" ca="1" si="19"/>
        <v>133.79226980417107</v>
      </c>
    </row>
    <row r="251" spans="1:7" ht="18.75" x14ac:dyDescent="0.25">
      <c r="A251" s="3">
        <v>44105</v>
      </c>
      <c r="B251" s="2">
        <v>118.7</v>
      </c>
      <c r="C251" s="4">
        <f t="shared" ca="1" si="15"/>
        <v>118.64740741891902</v>
      </c>
      <c r="D251" s="5">
        <f t="shared" ca="1" si="16"/>
        <v>116.12166763017777</v>
      </c>
      <c r="E251" s="5">
        <f t="shared" ca="1" si="17"/>
        <v>107.74825416794023</v>
      </c>
      <c r="F251" s="2">
        <f t="shared" ca="1" si="18"/>
        <v>101.48337016063343</v>
      </c>
      <c r="G251" s="2">
        <f t="shared" ca="1" si="19"/>
        <v>118.72558619911644</v>
      </c>
    </row>
    <row r="252" spans="1:7" ht="18.75" x14ac:dyDescent="0.25">
      <c r="A252" s="3">
        <v>44136</v>
      </c>
      <c r="B252" s="2">
        <v>115.2</v>
      </c>
      <c r="C252" s="4">
        <f t="shared" ca="1" si="15"/>
        <v>114.54144771188727</v>
      </c>
      <c r="D252" s="5">
        <f t="shared" ca="1" si="16"/>
        <v>114.35805670072838</v>
      </c>
      <c r="E252" s="5">
        <f t="shared" ca="1" si="17"/>
        <v>109.82318199166639</v>
      </c>
      <c r="F252" s="2">
        <f t="shared" ca="1" si="18"/>
        <v>106.93787219162729</v>
      </c>
      <c r="G252" s="2">
        <f t="shared" ca="1" si="19"/>
        <v>115.97786699527082</v>
      </c>
    </row>
    <row r="253" spans="1:7" ht="18.75" x14ac:dyDescent="0.25">
      <c r="A253" s="3">
        <v>44166</v>
      </c>
      <c r="B253" s="2">
        <v>137.69999999999999</v>
      </c>
      <c r="C253" s="4">
        <f t="shared" ca="1" si="15"/>
        <v>138.15573742930721</v>
      </c>
      <c r="D253" s="5">
        <f t="shared" ca="1" si="16"/>
        <v>135.67336233415779</v>
      </c>
      <c r="E253" s="5">
        <f t="shared" ca="1" si="17"/>
        <v>132.7861019274182</v>
      </c>
      <c r="F253" s="2">
        <f t="shared" ca="1" si="18"/>
        <v>139.04516617571835</v>
      </c>
      <c r="G253" s="2">
        <f t="shared" ca="1" si="19"/>
        <v>132.29387242563317</v>
      </c>
    </row>
    <row r="254" spans="1:7" ht="18.75" x14ac:dyDescent="0.25">
      <c r="A254" s="3">
        <v>44197</v>
      </c>
      <c r="B254" s="2">
        <v>103.4</v>
      </c>
      <c r="C254" s="4">
        <f t="shared" ca="1" si="15"/>
        <v>102.22386248896343</v>
      </c>
      <c r="D254" s="5">
        <f t="shared" ca="1" si="16"/>
        <v>102.11878223274663</v>
      </c>
      <c r="E254" s="5">
        <f t="shared" ca="1" si="17"/>
        <v>102.04100621303164</v>
      </c>
      <c r="F254" s="2">
        <f t="shared" ca="1" si="18"/>
        <v>101.61836257733617</v>
      </c>
      <c r="G254" s="2">
        <f t="shared" ca="1" si="19"/>
        <v>106.96050455302858</v>
      </c>
    </row>
    <row r="255" spans="1:7" ht="18.75" x14ac:dyDescent="0.25">
      <c r="A255" s="3">
        <v>44228</v>
      </c>
      <c r="B255" s="2">
        <v>100</v>
      </c>
      <c r="C255" s="4">
        <f t="shared" ca="1" si="15"/>
        <v>98.953329985301082</v>
      </c>
      <c r="D255" s="5">
        <f t="shared" ca="1" si="16"/>
        <v>94.140140365229115</v>
      </c>
      <c r="E255" s="5">
        <f t="shared" ca="1" si="17"/>
        <v>103.30872788621319</v>
      </c>
      <c r="F255" s="2">
        <f t="shared" ca="1" si="18"/>
        <v>116.72918887231877</v>
      </c>
      <c r="G255" s="2">
        <f t="shared" ca="1" si="19"/>
        <v>99.735274777685305</v>
      </c>
    </row>
    <row r="256" spans="1:7" ht="18.75" x14ac:dyDescent="0.25">
      <c r="A256" s="3">
        <v>44256</v>
      </c>
      <c r="B256" s="2">
        <v>127.3</v>
      </c>
      <c r="C256" s="4">
        <f t="shared" ca="1" si="15"/>
        <v>126.68317827686516</v>
      </c>
      <c r="D256" s="5">
        <f t="shared" ca="1" si="16"/>
        <v>127.09654692981559</v>
      </c>
      <c r="E256" s="5">
        <f t="shared" ca="1" si="17"/>
        <v>128.02500233514255</v>
      </c>
      <c r="F256" s="2">
        <f t="shared" ca="1" si="18"/>
        <v>120.2470715971599</v>
      </c>
      <c r="G256" s="2">
        <f t="shared" ca="1" si="19"/>
        <v>144.29570079803972</v>
      </c>
    </row>
    <row r="257" spans="1:7" ht="18.75" x14ac:dyDescent="0.25">
      <c r="A257" s="3">
        <v>44287</v>
      </c>
      <c r="B257" s="2">
        <v>104.7</v>
      </c>
      <c r="C257" s="4">
        <f t="shared" ca="1" si="15"/>
        <v>102.75273243882471</v>
      </c>
      <c r="D257" s="5">
        <f t="shared" ca="1" si="16"/>
        <v>107.2235386750416</v>
      </c>
      <c r="E257" s="5">
        <f t="shared" ca="1" si="17"/>
        <v>103.91535558184646</v>
      </c>
      <c r="F257" s="2">
        <f t="shared" ca="1" si="18"/>
        <v>98.520913453143464</v>
      </c>
      <c r="G257" s="2">
        <f t="shared" ca="1" si="19"/>
        <v>102.15532044884581</v>
      </c>
    </row>
    <row r="258" spans="1:7" ht="18.75" x14ac:dyDescent="0.25">
      <c r="A258" s="3">
        <v>44317</v>
      </c>
      <c r="B258" s="2">
        <v>115.2</v>
      </c>
      <c r="C258" s="4">
        <f t="shared" ca="1" si="15"/>
        <v>115.2576012461145</v>
      </c>
      <c r="D258" s="5">
        <f t="shared" ca="1" si="16"/>
        <v>118.22276735147167</v>
      </c>
      <c r="E258" s="5">
        <f t="shared" ca="1" si="17"/>
        <v>125.44472867134971</v>
      </c>
      <c r="F258" s="2">
        <f t="shared" ca="1" si="18"/>
        <v>116.02926863607109</v>
      </c>
      <c r="G258" s="2">
        <f t="shared" ca="1" si="19"/>
        <v>99.877215153591635</v>
      </c>
    </row>
    <row r="259" spans="1:7" ht="18.75" x14ac:dyDescent="0.25">
      <c r="A259" s="3">
        <v>44348</v>
      </c>
      <c r="B259" s="2">
        <v>119.7</v>
      </c>
      <c r="C259" s="4">
        <f t="shared" ref="C259:C281" ca="1" si="20">B259+NORMINV(RAND(),0,1)</f>
        <v>121.26741045220351</v>
      </c>
      <c r="D259" s="5">
        <f t="shared" ref="D259:D281" ca="1" si="21">B259+NORMINV(RAND(),0,3)</f>
        <v>115.99965264348666</v>
      </c>
      <c r="E259" s="5">
        <f t="shared" ref="E259:E281" ca="1" si="22">B259+NORMINV(RAND(),0,5)</f>
        <v>117.45981464917357</v>
      </c>
      <c r="F259" s="2">
        <f t="shared" ref="F259:F281" ca="1" si="23">B259+NORMINV(RAND(),0,10)</f>
        <v>114.06015006280759</v>
      </c>
      <c r="G259" s="2">
        <f t="shared" ref="G259:G281" ca="1" si="24">B259+NORMINV(RAND(),0,15)</f>
        <v>113.22935171267244</v>
      </c>
    </row>
    <row r="260" spans="1:7" ht="18.75" x14ac:dyDescent="0.25">
      <c r="A260" s="3">
        <v>44378</v>
      </c>
      <c r="B260" s="2">
        <v>119.5</v>
      </c>
      <c r="C260" s="4">
        <f t="shared" ca="1" si="20"/>
        <v>121.28648919592965</v>
      </c>
      <c r="D260" s="5">
        <f t="shared" ca="1" si="21"/>
        <v>126.00725134820446</v>
      </c>
      <c r="E260" s="5">
        <f t="shared" ca="1" si="22"/>
        <v>121.88875158388706</v>
      </c>
      <c r="F260" s="2">
        <f t="shared" ca="1" si="23"/>
        <v>113.14769048580428</v>
      </c>
      <c r="G260" s="2">
        <f t="shared" ca="1" si="24"/>
        <v>114.63536103240914</v>
      </c>
    </row>
    <row r="261" spans="1:7" ht="18.75" x14ac:dyDescent="0.25">
      <c r="A261" s="3">
        <v>44409</v>
      </c>
      <c r="B261" s="2">
        <v>108.7</v>
      </c>
      <c r="C261" s="4">
        <f t="shared" ca="1" si="20"/>
        <v>109.71819197109713</v>
      </c>
      <c r="D261" s="5">
        <f t="shared" ca="1" si="21"/>
        <v>116.16193801087515</v>
      </c>
      <c r="E261" s="5">
        <f t="shared" ca="1" si="22"/>
        <v>108.04534026198489</v>
      </c>
      <c r="F261" s="2">
        <f t="shared" ca="1" si="23"/>
        <v>104.50179863309245</v>
      </c>
      <c r="G261" s="2">
        <f t="shared" ca="1" si="24"/>
        <v>115.02241908996703</v>
      </c>
    </row>
    <row r="262" spans="1:7" ht="18.75" x14ac:dyDescent="0.25">
      <c r="A262" s="3">
        <v>44440</v>
      </c>
      <c r="B262" s="2">
        <v>104</v>
      </c>
      <c r="C262" s="4">
        <f t="shared" ca="1" si="20"/>
        <v>102.81067823173166</v>
      </c>
      <c r="D262" s="5">
        <f t="shared" ca="1" si="21"/>
        <v>101.0778075049197</v>
      </c>
      <c r="E262" s="5">
        <f t="shared" ca="1" si="22"/>
        <v>99.522296375354202</v>
      </c>
      <c r="F262" s="2">
        <f t="shared" ca="1" si="23"/>
        <v>115.29010481457145</v>
      </c>
      <c r="G262" s="2">
        <f t="shared" ca="1" si="24"/>
        <v>104.93175093179379</v>
      </c>
    </row>
    <row r="263" spans="1:7" ht="18.75" x14ac:dyDescent="0.25">
      <c r="A263" s="3">
        <v>44470</v>
      </c>
      <c r="B263" s="2">
        <v>105.2</v>
      </c>
      <c r="C263" s="4">
        <f t="shared" ca="1" si="20"/>
        <v>104.05017173469459</v>
      </c>
      <c r="D263" s="5">
        <f t="shared" ca="1" si="21"/>
        <v>103.35658103579524</v>
      </c>
      <c r="E263" s="5">
        <f t="shared" ca="1" si="22"/>
        <v>102.27670040453182</v>
      </c>
      <c r="F263" s="2">
        <f t="shared" ca="1" si="23"/>
        <v>121.79873401778558</v>
      </c>
      <c r="G263" s="2">
        <f t="shared" ca="1" si="24"/>
        <v>110.70934849469873</v>
      </c>
    </row>
    <row r="264" spans="1:7" ht="18.75" x14ac:dyDescent="0.25">
      <c r="A264" s="3">
        <v>44501</v>
      </c>
      <c r="B264" s="2">
        <v>106.9</v>
      </c>
      <c r="C264" s="4">
        <f t="shared" ca="1" si="20"/>
        <v>106.38608961057398</v>
      </c>
      <c r="D264" s="5">
        <f t="shared" ca="1" si="21"/>
        <v>100.95970567794903</v>
      </c>
      <c r="E264" s="5">
        <f t="shared" ca="1" si="22"/>
        <v>105.79913382930785</v>
      </c>
      <c r="F264" s="2">
        <f t="shared" ca="1" si="23"/>
        <v>106.61497738003416</v>
      </c>
      <c r="G264" s="2">
        <f t="shared" ca="1" si="24"/>
        <v>112.14499502934299</v>
      </c>
    </row>
    <row r="265" spans="1:7" ht="18.75" x14ac:dyDescent="0.25">
      <c r="A265" s="3">
        <v>44531</v>
      </c>
      <c r="B265" s="2">
        <v>129.80000000000001</v>
      </c>
      <c r="C265" s="4">
        <f t="shared" ca="1" si="20"/>
        <v>128.77532269520751</v>
      </c>
      <c r="D265" s="5">
        <f t="shared" ca="1" si="21"/>
        <v>134.06567365238021</v>
      </c>
      <c r="E265" s="5">
        <f t="shared" ca="1" si="22"/>
        <v>127.53959393944287</v>
      </c>
      <c r="F265" s="2">
        <f t="shared" ca="1" si="23"/>
        <v>128.58835182139626</v>
      </c>
      <c r="G265" s="2">
        <f t="shared" ca="1" si="24"/>
        <v>144.79455546559907</v>
      </c>
    </row>
    <row r="266" spans="1:7" ht="18.75" x14ac:dyDescent="0.25">
      <c r="A266" s="3">
        <v>44562</v>
      </c>
      <c r="B266" s="2">
        <v>96</v>
      </c>
      <c r="C266" s="4">
        <f t="shared" ca="1" si="20"/>
        <v>96.806846985992209</v>
      </c>
      <c r="D266" s="5">
        <f t="shared" ca="1" si="21"/>
        <v>97.143828613033008</v>
      </c>
      <c r="E266" s="5">
        <f t="shared" ca="1" si="22"/>
        <v>93.857593398290106</v>
      </c>
      <c r="F266" s="2">
        <f t="shared" ca="1" si="23"/>
        <v>100.89329692418637</v>
      </c>
      <c r="G266" s="2">
        <f t="shared" ca="1" si="24"/>
        <v>70.076672373108366</v>
      </c>
    </row>
    <row r="267" spans="1:7" ht="18.75" x14ac:dyDescent="0.25">
      <c r="A267" s="3">
        <v>44593</v>
      </c>
      <c r="B267" s="2">
        <v>92.3</v>
      </c>
      <c r="C267" s="4">
        <f t="shared" ca="1" si="20"/>
        <v>93.729087013809675</v>
      </c>
      <c r="D267" s="5">
        <f t="shared" ca="1" si="21"/>
        <v>91.950406956940057</v>
      </c>
      <c r="E267" s="5">
        <f t="shared" ca="1" si="22"/>
        <v>87.283546554582415</v>
      </c>
      <c r="F267" s="2">
        <f t="shared" ca="1" si="23"/>
        <v>96.177186757622124</v>
      </c>
      <c r="G267" s="2">
        <f t="shared" ca="1" si="24"/>
        <v>83.355546161848054</v>
      </c>
    </row>
    <row r="268" spans="1:7" ht="18.75" x14ac:dyDescent="0.25">
      <c r="A268" s="3">
        <v>44621</v>
      </c>
      <c r="B268" s="2">
        <v>102.5</v>
      </c>
      <c r="C268" s="4">
        <f t="shared" ca="1" si="20"/>
        <v>102.20561724189673</v>
      </c>
      <c r="D268" s="5">
        <f t="shared" ca="1" si="21"/>
        <v>104.26276722123225</v>
      </c>
      <c r="E268" s="5">
        <f t="shared" ca="1" si="22"/>
        <v>99.938782226804094</v>
      </c>
      <c r="F268" s="2">
        <f t="shared" ca="1" si="23"/>
        <v>87.986841009245822</v>
      </c>
      <c r="G268" s="2">
        <f t="shared" ca="1" si="24"/>
        <v>70.957958971207105</v>
      </c>
    </row>
    <row r="269" spans="1:7" ht="18.75" x14ac:dyDescent="0.25">
      <c r="A269" s="3">
        <v>44652</v>
      </c>
      <c r="B269" s="2">
        <v>103.6</v>
      </c>
      <c r="C269" s="4">
        <f t="shared" ca="1" si="20"/>
        <v>105.33020596742463</v>
      </c>
      <c r="D269" s="5">
        <f t="shared" ca="1" si="21"/>
        <v>103.04984712970503</v>
      </c>
      <c r="E269" s="5">
        <f t="shared" ca="1" si="22"/>
        <v>104.24836009566533</v>
      </c>
      <c r="F269" s="2">
        <f t="shared" ca="1" si="23"/>
        <v>87.70566002577911</v>
      </c>
      <c r="G269" s="2">
        <f t="shared" ca="1" si="24"/>
        <v>70.395457034993285</v>
      </c>
    </row>
    <row r="270" spans="1:7" ht="18.75" x14ac:dyDescent="0.25">
      <c r="A270" s="3">
        <v>44682</v>
      </c>
      <c r="B270" s="2">
        <v>102.8</v>
      </c>
      <c r="C270" s="4">
        <f t="shared" ca="1" si="20"/>
        <v>104.02975487283271</v>
      </c>
      <c r="D270" s="5">
        <f t="shared" ca="1" si="21"/>
        <v>105.43980294285601</v>
      </c>
      <c r="E270" s="5">
        <f t="shared" ca="1" si="22"/>
        <v>106.69151742388217</v>
      </c>
      <c r="F270" s="2">
        <f t="shared" ca="1" si="23"/>
        <v>107.38895510961936</v>
      </c>
      <c r="G270" s="2">
        <f t="shared" ca="1" si="24"/>
        <v>122.73270478202097</v>
      </c>
    </row>
    <row r="271" spans="1:7" ht="18.75" x14ac:dyDescent="0.25">
      <c r="A271" s="3">
        <v>44713</v>
      </c>
      <c r="B271" s="2">
        <v>104</v>
      </c>
      <c r="C271" s="4">
        <f t="shared" ca="1" si="20"/>
        <v>101.95628669241854</v>
      </c>
      <c r="D271" s="5">
        <f t="shared" ca="1" si="21"/>
        <v>104.79762235092635</v>
      </c>
      <c r="E271" s="5">
        <f t="shared" ca="1" si="22"/>
        <v>104.16956207996813</v>
      </c>
      <c r="F271" s="2">
        <f t="shared" ca="1" si="23"/>
        <v>87.628608061325281</v>
      </c>
      <c r="G271" s="2">
        <f t="shared" ca="1" si="24"/>
        <v>95.613064804520633</v>
      </c>
    </row>
    <row r="272" spans="1:7" ht="18.75" x14ac:dyDescent="0.25">
      <c r="A272" s="3">
        <v>44743</v>
      </c>
      <c r="B272" s="2">
        <v>98.4</v>
      </c>
      <c r="C272" s="4">
        <f t="shared" ca="1" si="20"/>
        <v>98.47781483643405</v>
      </c>
      <c r="D272" s="5">
        <f t="shared" ca="1" si="21"/>
        <v>97.435289836730178</v>
      </c>
      <c r="E272" s="5">
        <f t="shared" ca="1" si="22"/>
        <v>103.96054338659627</v>
      </c>
      <c r="F272" s="2">
        <f t="shared" ca="1" si="23"/>
        <v>92.548193347457641</v>
      </c>
      <c r="G272" s="2">
        <f t="shared" ca="1" si="24"/>
        <v>105.72522768982363</v>
      </c>
    </row>
    <row r="273" spans="1:7" ht="18.75" x14ac:dyDescent="0.25">
      <c r="A273" s="3">
        <v>44774</v>
      </c>
      <c r="B273" s="2">
        <v>102.4</v>
      </c>
      <c r="C273" s="4">
        <f t="shared" ca="1" si="20"/>
        <v>102.95528468068858</v>
      </c>
      <c r="D273" s="5">
        <f t="shared" ca="1" si="21"/>
        <v>103.79832294482534</v>
      </c>
      <c r="E273" s="5">
        <f t="shared" ca="1" si="22"/>
        <v>105.81478964685299</v>
      </c>
      <c r="F273" s="2">
        <f t="shared" ca="1" si="23"/>
        <v>106.62367604919069</v>
      </c>
      <c r="G273" s="2">
        <f t="shared" ca="1" si="24"/>
        <v>106.34881002026282</v>
      </c>
    </row>
    <row r="274" spans="1:7" ht="18.75" x14ac:dyDescent="0.25">
      <c r="A274" s="3">
        <v>44805</v>
      </c>
      <c r="B274" s="2">
        <v>97</v>
      </c>
      <c r="C274" s="4">
        <f t="shared" ca="1" si="20"/>
        <v>97.296678310481866</v>
      </c>
      <c r="D274" s="5">
        <f t="shared" ca="1" si="21"/>
        <v>92.33225970148186</v>
      </c>
      <c r="E274" s="5">
        <f t="shared" ca="1" si="22"/>
        <v>89.297664028934093</v>
      </c>
      <c r="F274" s="2">
        <f t="shared" ca="1" si="23"/>
        <v>94.605239488942004</v>
      </c>
      <c r="G274" s="2">
        <f t="shared" ca="1" si="24"/>
        <v>110.08791591878609</v>
      </c>
    </row>
    <row r="275" spans="1:7" ht="18.75" x14ac:dyDescent="0.25">
      <c r="A275" s="3">
        <v>44835</v>
      </c>
      <c r="B275" s="2">
        <v>97.1</v>
      </c>
      <c r="C275" s="4">
        <f t="shared" ca="1" si="20"/>
        <v>96.768238483870519</v>
      </c>
      <c r="D275" s="5">
        <f t="shared" ca="1" si="21"/>
        <v>94.809429551006417</v>
      </c>
      <c r="E275" s="5">
        <f t="shared" ca="1" si="22"/>
        <v>102.43782381004563</v>
      </c>
      <c r="F275" s="2">
        <f t="shared" ca="1" si="23"/>
        <v>103.15657708287924</v>
      </c>
      <c r="G275" s="2">
        <f t="shared" ca="1" si="24"/>
        <v>75.239866448988607</v>
      </c>
    </row>
    <row r="276" spans="1:7" ht="18.75" x14ac:dyDescent="0.25">
      <c r="A276" s="3">
        <v>44866</v>
      </c>
      <c r="B276" s="2">
        <v>101.6</v>
      </c>
      <c r="C276" s="4">
        <f t="shared" ca="1" si="20"/>
        <v>101.17753742397028</v>
      </c>
      <c r="D276" s="5">
        <f t="shared" ca="1" si="21"/>
        <v>99.48785426144542</v>
      </c>
      <c r="E276" s="5">
        <f t="shared" ca="1" si="22"/>
        <v>106.82576751719571</v>
      </c>
      <c r="F276" s="2">
        <f t="shared" ca="1" si="23"/>
        <v>99.444291331473522</v>
      </c>
      <c r="G276" s="2">
        <f t="shared" ca="1" si="24"/>
        <v>113.24918851428549</v>
      </c>
    </row>
    <row r="277" spans="1:7" ht="18.75" x14ac:dyDescent="0.25">
      <c r="A277" s="3">
        <v>44896</v>
      </c>
      <c r="B277" s="2">
        <v>119</v>
      </c>
      <c r="C277" s="4">
        <f t="shared" ca="1" si="20"/>
        <v>118.79288985045858</v>
      </c>
      <c r="D277" s="5">
        <f t="shared" ca="1" si="21"/>
        <v>115.57027624821364</v>
      </c>
      <c r="E277" s="5">
        <f t="shared" ca="1" si="22"/>
        <v>117.78089417939181</v>
      </c>
      <c r="F277" s="2">
        <f t="shared" ca="1" si="23"/>
        <v>100.28380808803547</v>
      </c>
      <c r="G277" s="2">
        <f t="shared" ca="1" si="24"/>
        <v>113.73619330374991</v>
      </c>
    </row>
    <row r="278" spans="1:7" ht="18.75" x14ac:dyDescent="0.25">
      <c r="A278" s="3">
        <v>44927</v>
      </c>
      <c r="B278" s="2">
        <v>93.1</v>
      </c>
      <c r="C278" s="4">
        <f t="shared" ca="1" si="20"/>
        <v>93.244821932905609</v>
      </c>
      <c r="D278" s="5">
        <f t="shared" ca="1" si="21"/>
        <v>94.992934146843382</v>
      </c>
      <c r="E278" s="5">
        <f t="shared" ca="1" si="22"/>
        <v>99.561410461985702</v>
      </c>
      <c r="F278" s="2">
        <f t="shared" ca="1" si="23"/>
        <v>103.44301101998643</v>
      </c>
      <c r="G278" s="2">
        <f t="shared" ca="1" si="24"/>
        <v>90.847518668203605</v>
      </c>
    </row>
    <row r="279" spans="1:7" ht="18.75" x14ac:dyDescent="0.25">
      <c r="A279" s="3">
        <v>44958</v>
      </c>
      <c r="B279" s="2">
        <v>86.8</v>
      </c>
      <c r="C279" s="4">
        <f t="shared" ca="1" si="20"/>
        <v>88.616314845138874</v>
      </c>
      <c r="D279" s="5">
        <f t="shared" ca="1" si="21"/>
        <v>86.364072312912057</v>
      </c>
      <c r="E279" s="5">
        <f t="shared" ca="1" si="22"/>
        <v>94.047383574292112</v>
      </c>
      <c r="F279" s="2">
        <f t="shared" ca="1" si="23"/>
        <v>93.735562594060411</v>
      </c>
      <c r="G279" s="2">
        <f t="shared" ca="1" si="24"/>
        <v>125.71224952722439</v>
      </c>
    </row>
    <row r="280" spans="1:7" ht="18.75" x14ac:dyDescent="0.25">
      <c r="A280" s="3">
        <v>44986</v>
      </c>
      <c r="B280" s="2">
        <v>103.9</v>
      </c>
      <c r="C280" s="4">
        <f t="shared" ca="1" si="20"/>
        <v>102.70060406960749</v>
      </c>
      <c r="D280" s="5">
        <f t="shared" ca="1" si="21"/>
        <v>106.51845121321203</v>
      </c>
      <c r="E280" s="5">
        <f t="shared" ca="1" si="22"/>
        <v>111.72309961232182</v>
      </c>
      <c r="F280" s="2">
        <f t="shared" ca="1" si="23"/>
        <v>97.585636535966884</v>
      </c>
      <c r="G280" s="2">
        <f t="shared" ca="1" si="24"/>
        <v>112.33376412535684</v>
      </c>
    </row>
    <row r="281" spans="1:7" ht="18.75" x14ac:dyDescent="0.25">
      <c r="A281" s="3">
        <v>45017</v>
      </c>
      <c r="B281" s="2">
        <v>96.9</v>
      </c>
      <c r="C281" s="4">
        <f t="shared" ca="1" si="20"/>
        <v>98.396592560292973</v>
      </c>
      <c r="D281" s="5">
        <f t="shared" ca="1" si="21"/>
        <v>93.696815512327973</v>
      </c>
      <c r="E281" s="5">
        <f t="shared" ca="1" si="22"/>
        <v>94.124590871126614</v>
      </c>
      <c r="F281" s="2">
        <f t="shared" ca="1" si="23"/>
        <v>99.258194982047314</v>
      </c>
      <c r="G281" s="2">
        <f t="shared" ca="1" si="24"/>
        <v>97.560743404313655</v>
      </c>
    </row>
  </sheetData>
  <pageMargins left="0.75" right="0.75" top="0.75" bottom="0.5" header="0.5" footer="0.75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Verdiindekser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Hamre, Jørn Ivar</dc:creator>
  <cp:lastModifiedBy>Haug, Jens Kristoffer</cp:lastModifiedBy>
  <dcterms:created xsi:type="dcterms:W3CDTF">2023-06-01T08:28:16Z</dcterms:created>
  <dcterms:modified xsi:type="dcterms:W3CDTF">2023-06-11T19:47:40Z</dcterms:modified>
</cp:coreProperties>
</file>